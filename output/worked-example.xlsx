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Team totals" sheetId="2" state="visible" r:id="rId2"/>
    <sheet name="Skaters" sheetId="3" state="visible" r:id="rId3"/>
    <sheet name="Goalies" sheetId="4" state="visible" r:id="rId4"/>
    <sheet name="Goals" sheetId="5" state="visible" r:id="rId5"/>
    <sheet name="Confidence" sheetId="6" state="visible" r:id="rId6"/>
    <sheet name="Event log" sheetId="7" state="visible" r:id="rId7"/>
    <sheet name="Credits" sheetId="8" state="visible" r:id="rId8"/>
    <sheet name="Roster" sheetId="9" state="visible" r:id="rId9"/>
  </sheets>
  <definedNames>
    <definedName name="_xlnm._FilterDatabase" localSheetId="2" hidden="1">'Skaters'!$A$1:$AE$12</definedName>
    <definedName name="_xlnm._FilterDatabase" localSheetId="6" hidden="1">'Event log'!$A$1:$K$16</definedName>
    <definedName name="_xlnm._FilterDatabase" localSheetId="7" hidden="1">'Credits'!$A$1:$I$19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3B5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Statistic</t>
        </is>
      </c>
      <c r="B1" s="1" t="inlineStr">
        <is>
          <t>Definition used for this game</t>
        </is>
      </c>
    </row>
    <row r="2">
      <c r="A2" s="2" t="inlineStr">
        <is>
          <t>Shot on goal</t>
        </is>
      </c>
      <c r="B2" s="3" t="inlineStr">
        <is>
          <t>A shot that would enter the net if the goalie did not stop it. Goals are counted as shots on goal.</t>
        </is>
      </c>
    </row>
    <row r="3">
      <c r="A3" s="2" t="inlineStr">
        <is>
          <t>Shot attempt</t>
        </is>
      </c>
      <c r="B3" s="3" t="inlineStr">
        <is>
          <t>Every shot directed at the net: on goal, missed and blocked.</t>
        </is>
      </c>
    </row>
    <row r="4">
      <c r="A4" s="2" t="inlineStr">
        <is>
          <t>Scoring chance</t>
        </is>
      </c>
      <c r="B4" s="3" t="inlineStr">
        <is>
          <t>An unblocked attempt from the home-plate area in front of the net, or any clear opportunity from close range.</t>
        </is>
      </c>
    </row>
    <row r="5">
      <c r="A5" s="2" t="inlineStr">
        <is>
          <t>High-danger chance</t>
        </is>
      </c>
      <c r="B5" s="3" t="inlineStr">
        <is>
          <t>A scoring chance from the inner slot, off a rebound, or created by a pass across the slot.</t>
        </is>
      </c>
    </row>
    <row r="6">
      <c r="A6" s="2" t="inlineStr">
        <is>
          <t>Assist</t>
        </is>
      </c>
      <c r="B6" s="3" t="inlineStr">
        <is>
          <t>Up to two players who touched the puck before the goal without the other team gaining control in between.</t>
        </is>
      </c>
    </row>
    <row r="7">
      <c r="A7" s="2" t="inlineStr">
        <is>
          <t>Faceoff</t>
        </is>
      </c>
      <c r="B7" s="3" t="inlineStr">
        <is>
          <t>Credited to the player whose team gains clear possession from the draw. The losing player is recorded where the number is readable.</t>
        </is>
      </c>
    </row>
    <row r="8">
      <c r="A8" s="2" t="inlineStr">
        <is>
          <t>Zone entry - controlled</t>
        </is>
      </c>
      <c r="B8" s="3" t="inlineStr">
        <is>
          <t>The puck crosses the offensive blue line carried or passed with possession retained.</t>
        </is>
      </c>
    </row>
    <row r="9">
      <c r="A9" s="2" t="inlineStr">
        <is>
          <t>Zone entry - dump-in</t>
        </is>
      </c>
      <c r="B9" s="3" t="inlineStr">
        <is>
          <t>The puck is shot or chipped into the offensive zone without possession.</t>
        </is>
      </c>
    </row>
    <row r="10">
      <c r="A10" s="2" t="inlineStr">
        <is>
          <t>Zone exit - controlled</t>
        </is>
      </c>
      <c r="B10" s="3" t="inlineStr">
        <is>
          <t>The puck leaves the defensive zone with possession retained.</t>
        </is>
      </c>
    </row>
    <row r="11">
      <c r="A11" s="2" t="inlineStr">
        <is>
          <t>Zone exit - clear/chip</t>
        </is>
      </c>
      <c r="B11" s="3" t="inlineStr">
        <is>
          <t>The puck leaves the defensive zone without possession retained, including icings.</t>
        </is>
      </c>
    </row>
    <row r="12">
      <c r="A12" s="2" t="inlineStr">
        <is>
          <t>Giveaway</t>
        </is>
      </c>
      <c r="B12" s="3" t="inlineStr">
        <is>
          <t>An unforced loss of possession: a missed pass, a failed clear, losing the puck under no real pressure.</t>
        </is>
      </c>
    </row>
    <row r="13">
      <c r="A13" s="2" t="inlineStr">
        <is>
          <t>Takeaway</t>
        </is>
      </c>
      <c r="B13" s="3" t="inlineStr">
        <is>
          <t>Possession taken from an opponent by stick check, body position or intercepting a pass.</t>
        </is>
      </c>
    </row>
    <row r="14">
      <c r="A14" s="2" t="inlineStr">
        <is>
          <t>Pass attempt / completed</t>
        </is>
      </c>
      <c r="B14" s="3" t="inlineStr">
        <is>
          <t>A deliberate pass to a teammate; completed when that teammate gains control of the puck.</t>
        </is>
      </c>
    </row>
    <row r="15">
      <c r="A15" s="2" t="inlineStr">
        <is>
          <t>On-ice set</t>
        </is>
      </c>
      <c r="B15" s="3" t="inlineStr">
        <is>
          <t>The players recorded on the ice after each line change. Time on ice, shift counts and on-ice goal differential all come from these.</t>
        </is>
      </c>
    </row>
    <row r="16">
      <c r="A16" s="2" t="inlineStr">
        <is>
          <t>Time on ice</t>
        </is>
      </c>
      <c r="B16" s="3" t="inlineStr">
        <is>
          <t>The sum of the stretches in which a player appears in the on-ice set. An estimate, limited by how clearly numbers read on video.</t>
        </is>
      </c>
    </row>
    <row r="17">
      <c r="A17" s="2" t="inlineStr">
        <is>
          <t>Shift</t>
        </is>
      </c>
      <c r="B17" s="3" t="inlineStr">
        <is>
          <t>Counted when a player appears in an on-ice set having not been in the previous one.</t>
        </is>
      </c>
    </row>
    <row r="18">
      <c r="A18" s="2" t="inlineStr">
        <is>
          <t>On-ice goal differential</t>
        </is>
      </c>
      <c r="B18" s="3" t="inlineStr">
        <is>
          <t>Goals for minus goals against while the player was on the ice. Not adjusted for power play or short-handed situations, because strength cannot be judged reliably from this camera angle.</t>
        </is>
      </c>
    </row>
    <row r="19">
      <c r="A19" s="2" t="inlineStr">
        <is>
          <t>Goalie save percentage</t>
        </is>
      </c>
      <c r="B19" s="3" t="inlineStr">
        <is>
          <t>Saves divided by shots on goal against, where goals count as shots on goal. Saves are worked out, not tagged separately.</t>
        </is>
      </c>
    </row>
    <row r="20">
      <c r="A20" s="2" t="inlineStr">
        <is>
          <t>Flagged</t>
        </is>
      </c>
      <c r="B20" s="3" t="inlineStr">
        <is>
          <t>An event the video did not allow a confident read of. Flagged events are recorded and counted, never guessed.</t>
        </is>
      </c>
    </row>
    <row r="22">
      <c r="A22" s="4" t="inlineStr">
        <is>
          <t>Every number in this workbook comes from the Event log and the Credits sheet. Summary cells are live formulas, so deleting a disputed event updates the totals.</t>
        </is>
      </c>
    </row>
    <row r="23">
      <c r="A23" s="4" t="inlineStr">
        <is>
          <t>Time on ice, shift counts and on-ice goal differential are calculated from the on-ice sets and written as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Statistic</t>
        </is>
      </c>
      <c r="B1" s="1" t="inlineStr">
        <is>
          <t>Black/Yellow</t>
        </is>
      </c>
      <c r="C1" s="1" t="inlineStr">
        <is>
          <t>Green</t>
        </is>
      </c>
    </row>
    <row r="2">
      <c r="A2" s="2" t="inlineStr">
        <is>
          <t>Goals</t>
        </is>
      </c>
      <c r="B2" s="2">
        <f>COUNTIFS(Credits!$E:$E,"B/Y",Credits!$G:$G,"GOAL")</f>
        <v/>
      </c>
      <c r="C2" s="2">
        <f>COUNTIFS(Credits!$E:$E,"GRN",Credits!$G:$G,"GOAL")</f>
        <v/>
      </c>
    </row>
    <row r="3">
      <c r="A3" s="2" t="inlineStr">
        <is>
          <t>Shots on goal</t>
        </is>
      </c>
      <c r="B3" s="2">
        <f>COUNTIFS(Credits!$E:$E,"B/Y",Credits!$G:$G,"SOG")</f>
        <v/>
      </c>
      <c r="C3" s="2">
        <f>COUNTIFS(Credits!$E:$E,"GRN",Credits!$G:$G,"SOG")</f>
        <v/>
      </c>
    </row>
    <row r="4">
      <c r="A4" s="2" t="inlineStr">
        <is>
          <t>Missed</t>
        </is>
      </c>
      <c r="B4" s="2">
        <f>COUNTIFS(Credits!$E:$E,"B/Y",Credits!$G:$G,"MISS")</f>
        <v/>
      </c>
      <c r="C4" s="2">
        <f>COUNTIFS(Credits!$E:$E,"GRN",Credits!$G:$G,"MISS")</f>
        <v/>
      </c>
    </row>
    <row r="5">
      <c r="A5" s="2" t="inlineStr">
        <is>
          <t>Blocked</t>
        </is>
      </c>
      <c r="B5" s="2">
        <f>COUNTIFS(Credits!$E:$E,"B/Y",Credits!$G:$G,"BLOCK")</f>
        <v/>
      </c>
      <c r="C5" s="2">
        <f>COUNTIFS(Credits!$E:$E,"GRN",Credits!$G:$G,"BLOCK")</f>
        <v/>
      </c>
    </row>
    <row r="6">
      <c r="A6" s="2" t="inlineStr">
        <is>
          <t>Shot attempts</t>
        </is>
      </c>
      <c r="B6" s="2">
        <f>B3+B4+B5</f>
        <v/>
      </c>
      <c r="C6" s="2">
        <f>C3+C4+C5</f>
        <v/>
      </c>
    </row>
    <row r="7">
      <c r="A7" s="2" t="inlineStr">
        <is>
          <t>Scoring chances</t>
        </is>
      </c>
      <c r="B7" s="2">
        <f>COUNTIFS(Credits!$E:$E,"B/Y",Credits!$G:$G,"CHANCE")</f>
        <v/>
      </c>
      <c r="C7" s="2">
        <f>COUNTIFS(Credits!$E:$E,"GRN",Credits!$G:$G,"CHANCE")</f>
        <v/>
      </c>
    </row>
    <row r="8">
      <c r="A8" s="2" t="inlineStr">
        <is>
          <t>High-danger chances</t>
        </is>
      </c>
      <c r="B8" s="2">
        <f>COUNTIFS(Credits!$E:$E,"B/Y",Credits!$G:$G,"CHANCE_HD")</f>
        <v/>
      </c>
      <c r="C8" s="2">
        <f>COUNTIFS(Credits!$E:$E,"GRN",Credits!$G:$G,"CHANCE_HD")</f>
        <v/>
      </c>
    </row>
    <row r="9">
      <c r="A9" s="2" t="inlineStr">
        <is>
          <t>Faceoffs won</t>
        </is>
      </c>
      <c r="B9" s="2">
        <f>COUNTIFS(Credits!$E:$E,"B/Y",Credits!$G:$G,"FO_W")</f>
        <v/>
      </c>
      <c r="C9" s="2">
        <f>COUNTIFS(Credits!$E:$E,"GRN",Credits!$G:$G,"FO_W")</f>
        <v/>
      </c>
    </row>
    <row r="10">
      <c r="A10" s="2" t="inlineStr">
        <is>
          <t>Faceoffs lost</t>
        </is>
      </c>
      <c r="B10" s="2">
        <f>COUNTIFS(Credits!$E:$E,"B/Y",Credits!$G:$G,"FO_L")</f>
        <v/>
      </c>
      <c r="C10" s="2">
        <f>COUNTIFS(Credits!$E:$E,"GRN",Credits!$G:$G,"FO_L")</f>
        <v/>
      </c>
    </row>
    <row r="11">
      <c r="A11" s="2" t="inlineStr">
        <is>
          <t>Entries controlled</t>
        </is>
      </c>
      <c r="B11" s="2">
        <f>COUNTIFS(Credits!$E:$E,"B/Y",Credits!$G:$G,"ENTRY_C")</f>
        <v/>
      </c>
      <c r="C11" s="2">
        <f>COUNTIFS(Credits!$E:$E,"GRN",Credits!$G:$G,"ENTRY_C")</f>
        <v/>
      </c>
    </row>
    <row r="12">
      <c r="A12" s="2" t="inlineStr">
        <is>
          <t>Entries dumped</t>
        </is>
      </c>
      <c r="B12" s="2">
        <f>COUNTIFS(Credits!$E:$E,"B/Y",Credits!$G:$G,"ENTRY_D")</f>
        <v/>
      </c>
      <c r="C12" s="2">
        <f>COUNTIFS(Credits!$E:$E,"GRN",Credits!$G:$G,"ENTRY_D")</f>
        <v/>
      </c>
    </row>
    <row r="13">
      <c r="A13" s="2" t="inlineStr">
        <is>
          <t>Exits controlled</t>
        </is>
      </c>
      <c r="B13" s="2">
        <f>COUNTIFS(Credits!$E:$E,"B/Y",Credits!$G:$G,"EXIT_C")</f>
        <v/>
      </c>
      <c r="C13" s="2">
        <f>COUNTIFS(Credits!$E:$E,"GRN",Credits!$G:$G,"EXIT_C")</f>
        <v/>
      </c>
    </row>
    <row r="14">
      <c r="A14" s="2" t="inlineStr">
        <is>
          <t>Exits cleared</t>
        </is>
      </c>
      <c r="B14" s="2">
        <f>COUNTIFS(Credits!$E:$E,"B/Y",Credits!$G:$G,"EXIT_CL")</f>
        <v/>
      </c>
      <c r="C14" s="2">
        <f>COUNTIFS(Credits!$E:$E,"GRN",Credits!$G:$G,"EXIT_CL")</f>
        <v/>
      </c>
    </row>
    <row r="15">
      <c r="A15" s="2" t="inlineStr">
        <is>
          <t>Giveaways</t>
        </is>
      </c>
      <c r="B15" s="2">
        <f>COUNTIFS(Credits!$E:$E,"B/Y",Credits!$G:$G,"GIVE")</f>
        <v/>
      </c>
      <c r="C15" s="2">
        <f>COUNTIFS(Credits!$E:$E,"GRN",Credits!$G:$G,"GIVE")</f>
        <v/>
      </c>
    </row>
    <row r="16">
      <c r="A16" s="2" t="inlineStr">
        <is>
          <t>Takeaways</t>
        </is>
      </c>
      <c r="B16" s="2">
        <f>COUNTIFS(Credits!$E:$E,"B/Y",Credits!$G:$G,"TAKE")</f>
        <v/>
      </c>
      <c r="C16" s="2">
        <f>COUNTIFS(Credits!$E:$E,"GRN",Credits!$G:$G,"TAKE")</f>
        <v/>
      </c>
    </row>
    <row r="17">
      <c r="A17" s="2" t="inlineStr">
        <is>
          <t>Pass attempts</t>
        </is>
      </c>
      <c r="B17" s="2">
        <f>COUNTIFS(Credits!$E:$E,"B/Y",Credits!$G:$G,"PASS")</f>
        <v/>
      </c>
      <c r="C17" s="2">
        <f>COUNTIFS(Credits!$E:$E,"GRN",Credits!$G:$G,"PASS")</f>
        <v/>
      </c>
    </row>
    <row r="18">
      <c r="A18" s="2" t="inlineStr">
        <is>
          <t>Passes completed</t>
        </is>
      </c>
      <c r="B18" s="2">
        <f>COUNTIFS(Credits!$E:$E,"B/Y",Credits!$G:$G,"PASS_C")</f>
        <v/>
      </c>
      <c r="C18" s="2">
        <f>COUNTIFS(Credits!$E:$E,"GRN",Credits!$G:$G,"PASS_C")</f>
        <v/>
      </c>
    </row>
    <row r="19">
      <c r="A19" s="2" t="inlineStr">
        <is>
          <t>Penalties</t>
        </is>
      </c>
      <c r="B19" s="2">
        <f>COUNTIFS(Credits!$E:$E,"B/Y",Credits!$G:$G,"PEN")</f>
        <v/>
      </c>
      <c r="C19" s="2">
        <f>COUNTIFS(Credits!$E:$E,"GRN",Credits!$G:$G,"PEN")</f>
        <v/>
      </c>
    </row>
    <row r="21">
      <c r="A21" s="4" t="inlineStr">
        <is>
          <t>Every cell is a COUNTIFS over the Credits sheet — click one to see how it is built.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</cols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G</t>
        </is>
      </c>
      <c r="E1" s="1" t="inlineStr">
        <is>
          <t>A</t>
        </is>
      </c>
      <c r="F1" s="1" t="inlineStr">
        <is>
          <t>P</t>
        </is>
      </c>
      <c r="G1" s="1" t="inlineStr">
        <is>
          <t>SOG</t>
        </is>
      </c>
      <c r="H1" s="1" t="inlineStr">
        <is>
          <t>Missed</t>
        </is>
      </c>
      <c r="I1" s="1" t="inlineStr">
        <is>
          <t>Blocked</t>
        </is>
      </c>
      <c r="J1" s="1" t="inlineStr">
        <is>
          <t>Attempts</t>
        </is>
      </c>
      <c r="K1" s="1" t="inlineStr">
        <is>
          <t>Chances</t>
        </is>
      </c>
      <c r="L1" s="1" t="inlineStr">
        <is>
          <t>High danger</t>
        </is>
      </c>
      <c r="M1" s="1" t="inlineStr">
        <is>
          <t>FO won</t>
        </is>
      </c>
      <c r="N1" s="1" t="inlineStr">
        <is>
          <t>FO lost</t>
        </is>
      </c>
      <c r="O1" s="1" t="inlineStr">
        <is>
          <t>FO %</t>
        </is>
      </c>
      <c r="P1" s="1" t="inlineStr">
        <is>
          <t>Entries controlled</t>
        </is>
      </c>
      <c r="Q1" s="1" t="inlineStr">
        <is>
          <t>Entries dumped</t>
        </is>
      </c>
      <c r="R1" s="1" t="inlineStr">
        <is>
          <t>Exits controlled</t>
        </is>
      </c>
      <c r="S1" s="1" t="inlineStr">
        <is>
          <t>Exits cleared</t>
        </is>
      </c>
      <c r="T1" s="1" t="inlineStr">
        <is>
          <t>Giveaways</t>
        </is>
      </c>
      <c r="U1" s="1" t="inlineStr">
        <is>
          <t>Takeaways</t>
        </is>
      </c>
      <c r="V1" s="1" t="inlineStr">
        <is>
          <t>Pass attempts</t>
        </is>
      </c>
      <c r="W1" s="1" t="inlineStr">
        <is>
          <t>Passes completed</t>
        </is>
      </c>
      <c r="X1" s="1" t="inlineStr">
        <is>
          <t>Pass %</t>
        </is>
      </c>
      <c r="Y1" s="1" t="inlineStr">
        <is>
          <t>Penalties</t>
        </is>
      </c>
      <c r="Z1" s="1" t="inlineStr">
        <is>
          <t>TOI</t>
        </is>
      </c>
      <c r="AA1" s="1" t="inlineStr">
        <is>
          <t>TOI (seconds)</t>
        </is>
      </c>
      <c r="AB1" s="1" t="inlineStr">
        <is>
          <t>Shifts</t>
        </is>
      </c>
      <c r="AC1" s="1" t="inlineStr">
        <is>
          <t>On ice for</t>
        </is>
      </c>
      <c r="AD1" s="1" t="inlineStr">
        <is>
          <t>On ice against</t>
        </is>
      </c>
      <c r="AE1" s="1" t="inlineStr">
        <is>
          <t>Goal differential</t>
        </is>
      </c>
    </row>
    <row r="2">
      <c r="A2" s="2" t="inlineStr">
        <is>
          <t>B/Y</t>
        </is>
      </c>
      <c r="B2" s="2" t="inlineStr">
        <is>
          <t>#1</t>
        </is>
      </c>
      <c r="C2" s="2" t="inlineStr">
        <is>
          <t>G</t>
        </is>
      </c>
      <c r="D2" s="2">
        <f>COUNTIFS(Credits!$E:$E,"B/Y",Credits!$F:$F,"#1",Credits!$G:$G,"GOAL")</f>
        <v/>
      </c>
      <c r="E2" s="2">
        <f>COUNTIFS(Credits!$E:$E,"B/Y",Credits!$F:$F,"#1",Credits!$G:$G,"ASSIST")</f>
        <v/>
      </c>
      <c r="F2" s="2">
        <f>D2+E2</f>
        <v/>
      </c>
      <c r="G2" s="2">
        <f>COUNTIFS(Credits!$E:$E,"B/Y",Credits!$F:$F,"#1",Credits!$G:$G,"SOG")</f>
        <v/>
      </c>
      <c r="H2" s="2">
        <f>COUNTIFS(Credits!$E:$E,"B/Y",Credits!$F:$F,"#1",Credits!$G:$G,"MISS")</f>
        <v/>
      </c>
      <c r="I2" s="2">
        <f>COUNTIFS(Credits!$E:$E,"B/Y",Credits!$F:$F,"#1",Credits!$G:$G,"BLOCK")</f>
        <v/>
      </c>
      <c r="J2" s="2">
        <f>G2+H2+I2</f>
        <v/>
      </c>
      <c r="K2" s="2">
        <f>COUNTIFS(Credits!$E:$E,"B/Y",Credits!$F:$F,"#1",Credits!$G:$G,"CHANCE")</f>
        <v/>
      </c>
      <c r="L2" s="2">
        <f>COUNTIFS(Credits!$E:$E,"B/Y",Credits!$F:$F,"#1",Credits!$G:$G,"CHANCE_HD")</f>
        <v/>
      </c>
      <c r="M2" s="2">
        <f>COUNTIFS(Credits!$E:$E,"B/Y",Credits!$F:$F,"#1",Credits!$G:$G,"FO_W")</f>
        <v/>
      </c>
      <c r="N2" s="2">
        <f>COUNTIFS(Credits!$E:$E,"B/Y",Credits!$F:$F,"#1",Credits!$G:$G,"FO_L")</f>
        <v/>
      </c>
      <c r="O2" s="5">
        <f>IFERROR(M2/(M2+N2),"")</f>
        <v/>
      </c>
      <c r="P2" s="2">
        <f>COUNTIFS(Credits!$E:$E,"B/Y",Credits!$F:$F,"#1",Credits!$G:$G,"ENTRY_C")</f>
        <v/>
      </c>
      <c r="Q2" s="2">
        <f>COUNTIFS(Credits!$E:$E,"B/Y",Credits!$F:$F,"#1",Credits!$G:$G,"ENTRY_D")</f>
        <v/>
      </c>
      <c r="R2" s="2">
        <f>COUNTIFS(Credits!$E:$E,"B/Y",Credits!$F:$F,"#1",Credits!$G:$G,"EXIT_C")</f>
        <v/>
      </c>
      <c r="S2" s="2">
        <f>COUNTIFS(Credits!$E:$E,"B/Y",Credits!$F:$F,"#1",Credits!$G:$G,"EXIT_CL")</f>
        <v/>
      </c>
      <c r="T2" s="2">
        <f>COUNTIFS(Credits!$E:$E,"B/Y",Credits!$F:$F,"#1",Credits!$G:$G,"GIVE")</f>
        <v/>
      </c>
      <c r="U2" s="2">
        <f>COUNTIFS(Credits!$E:$E,"B/Y",Credits!$F:$F,"#1",Credits!$G:$G,"TAKE")</f>
        <v/>
      </c>
      <c r="V2" s="2">
        <f>COUNTIFS(Credits!$E:$E,"B/Y",Credits!$F:$F,"#1",Credits!$G:$G,"PASS")</f>
        <v/>
      </c>
      <c r="W2" s="2">
        <f>COUNTIFS(Credits!$E:$E,"B/Y",Credits!$F:$F,"#1",Credits!$G:$G,"PASS_C")</f>
        <v/>
      </c>
      <c r="X2" s="5">
        <f>IFERROR(W2/V2,"")</f>
        <v/>
      </c>
      <c r="Y2" s="2">
        <f>COUNTIFS(Credits!$E:$E,"B/Y",Credits!$F:$F,"#1",Credits!$G:$G,"PEN")</f>
        <v/>
      </c>
      <c r="Z2" s="2" t="inlineStr">
        <is>
          <t>0:00</t>
        </is>
      </c>
      <c r="AA2" s="2" t="n">
        <v>0</v>
      </c>
      <c r="AB2" s="2" t="n">
        <v>0</v>
      </c>
      <c r="AC2" s="2" t="n">
        <v>0</v>
      </c>
      <c r="AD2" s="2" t="n">
        <v>0</v>
      </c>
      <c r="AE2" s="2">
        <f>AC2-AD2</f>
        <v/>
      </c>
    </row>
    <row r="3">
      <c r="A3" s="2" t="inlineStr">
        <is>
          <t>B/Y</t>
        </is>
      </c>
      <c r="B3" s="2" t="inlineStr">
        <is>
          <t>#11</t>
        </is>
      </c>
      <c r="C3" s="2" t="inlineStr"/>
      <c r="D3" s="2">
        <f>COUNTIFS(Credits!$E:$E,"B/Y",Credits!$F:$F,"#11",Credits!$G:$G,"GOAL")</f>
        <v/>
      </c>
      <c r="E3" s="2">
        <f>COUNTIFS(Credits!$E:$E,"B/Y",Credits!$F:$F,"#11",Credits!$G:$G,"ASSIST")</f>
        <v/>
      </c>
      <c r="F3" s="2">
        <f>D3+E3</f>
        <v/>
      </c>
      <c r="G3" s="2">
        <f>COUNTIFS(Credits!$E:$E,"B/Y",Credits!$F:$F,"#11",Credits!$G:$G,"SOG")</f>
        <v/>
      </c>
      <c r="H3" s="2">
        <f>COUNTIFS(Credits!$E:$E,"B/Y",Credits!$F:$F,"#11",Credits!$G:$G,"MISS")</f>
        <v/>
      </c>
      <c r="I3" s="2">
        <f>COUNTIFS(Credits!$E:$E,"B/Y",Credits!$F:$F,"#11",Credits!$G:$G,"BLOCK")</f>
        <v/>
      </c>
      <c r="J3" s="2">
        <f>G3+H3+I3</f>
        <v/>
      </c>
      <c r="K3" s="2">
        <f>COUNTIFS(Credits!$E:$E,"B/Y",Credits!$F:$F,"#11",Credits!$G:$G,"CHANCE")</f>
        <v/>
      </c>
      <c r="L3" s="2">
        <f>COUNTIFS(Credits!$E:$E,"B/Y",Credits!$F:$F,"#11",Credits!$G:$G,"CHANCE_HD")</f>
        <v/>
      </c>
      <c r="M3" s="2">
        <f>COUNTIFS(Credits!$E:$E,"B/Y",Credits!$F:$F,"#11",Credits!$G:$G,"FO_W")</f>
        <v/>
      </c>
      <c r="N3" s="2">
        <f>COUNTIFS(Credits!$E:$E,"B/Y",Credits!$F:$F,"#11",Credits!$G:$G,"FO_L")</f>
        <v/>
      </c>
      <c r="O3" s="5">
        <f>IFERROR(M3/(M3+N3),"")</f>
        <v/>
      </c>
      <c r="P3" s="2">
        <f>COUNTIFS(Credits!$E:$E,"B/Y",Credits!$F:$F,"#11",Credits!$G:$G,"ENTRY_C")</f>
        <v/>
      </c>
      <c r="Q3" s="2">
        <f>COUNTIFS(Credits!$E:$E,"B/Y",Credits!$F:$F,"#11",Credits!$G:$G,"ENTRY_D")</f>
        <v/>
      </c>
      <c r="R3" s="2">
        <f>COUNTIFS(Credits!$E:$E,"B/Y",Credits!$F:$F,"#11",Credits!$G:$G,"EXIT_C")</f>
        <v/>
      </c>
      <c r="S3" s="2">
        <f>COUNTIFS(Credits!$E:$E,"B/Y",Credits!$F:$F,"#11",Credits!$G:$G,"EXIT_CL")</f>
        <v/>
      </c>
      <c r="T3" s="2">
        <f>COUNTIFS(Credits!$E:$E,"B/Y",Credits!$F:$F,"#11",Credits!$G:$G,"GIVE")</f>
        <v/>
      </c>
      <c r="U3" s="2">
        <f>COUNTIFS(Credits!$E:$E,"B/Y",Credits!$F:$F,"#11",Credits!$G:$G,"TAKE")</f>
        <v/>
      </c>
      <c r="V3" s="2">
        <f>COUNTIFS(Credits!$E:$E,"B/Y",Credits!$F:$F,"#11",Credits!$G:$G,"PASS")</f>
        <v/>
      </c>
      <c r="W3" s="2">
        <f>COUNTIFS(Credits!$E:$E,"B/Y",Credits!$F:$F,"#11",Credits!$G:$G,"PASS_C")</f>
        <v/>
      </c>
      <c r="X3" s="5">
        <f>IFERROR(W3/V3,"")</f>
        <v/>
      </c>
      <c r="Y3" s="2">
        <f>COUNTIFS(Credits!$E:$E,"B/Y",Credits!$F:$F,"#11",Credits!$G:$G,"PEN")</f>
        <v/>
      </c>
      <c r="Z3" s="2" t="inlineStr">
        <is>
          <t>1:00</t>
        </is>
      </c>
      <c r="AA3" s="2" t="n">
        <v>60</v>
      </c>
      <c r="AB3" s="2" t="n">
        <v>1</v>
      </c>
      <c r="AC3" s="2" t="n">
        <v>1</v>
      </c>
      <c r="AD3" s="2" t="n">
        <v>0</v>
      </c>
      <c r="AE3" s="2">
        <f>AC3-AD3</f>
        <v/>
      </c>
    </row>
    <row r="4">
      <c r="A4" s="2" t="inlineStr">
        <is>
          <t>B/Y</t>
        </is>
      </c>
      <c r="B4" s="2" t="inlineStr">
        <is>
          <t>#22</t>
        </is>
      </c>
      <c r="C4" s="2" t="inlineStr"/>
      <c r="D4" s="2">
        <f>COUNTIFS(Credits!$E:$E,"B/Y",Credits!$F:$F,"#22",Credits!$G:$G,"GOAL")</f>
        <v/>
      </c>
      <c r="E4" s="2">
        <f>COUNTIFS(Credits!$E:$E,"B/Y",Credits!$F:$F,"#22",Credits!$G:$G,"ASSIST")</f>
        <v/>
      </c>
      <c r="F4" s="2">
        <f>D4+E4</f>
        <v/>
      </c>
      <c r="G4" s="2">
        <f>COUNTIFS(Credits!$E:$E,"B/Y",Credits!$F:$F,"#22",Credits!$G:$G,"SOG")</f>
        <v/>
      </c>
      <c r="H4" s="2">
        <f>COUNTIFS(Credits!$E:$E,"B/Y",Credits!$F:$F,"#22",Credits!$G:$G,"MISS")</f>
        <v/>
      </c>
      <c r="I4" s="2">
        <f>COUNTIFS(Credits!$E:$E,"B/Y",Credits!$F:$F,"#22",Credits!$G:$G,"BLOCK")</f>
        <v/>
      </c>
      <c r="J4" s="2">
        <f>G4+H4+I4</f>
        <v/>
      </c>
      <c r="K4" s="2">
        <f>COUNTIFS(Credits!$E:$E,"B/Y",Credits!$F:$F,"#22",Credits!$G:$G,"CHANCE")</f>
        <v/>
      </c>
      <c r="L4" s="2">
        <f>COUNTIFS(Credits!$E:$E,"B/Y",Credits!$F:$F,"#22",Credits!$G:$G,"CHANCE_HD")</f>
        <v/>
      </c>
      <c r="M4" s="2">
        <f>COUNTIFS(Credits!$E:$E,"B/Y",Credits!$F:$F,"#22",Credits!$G:$G,"FO_W")</f>
        <v/>
      </c>
      <c r="N4" s="2">
        <f>COUNTIFS(Credits!$E:$E,"B/Y",Credits!$F:$F,"#22",Credits!$G:$G,"FO_L")</f>
        <v/>
      </c>
      <c r="O4" s="5">
        <f>IFERROR(M4/(M4+N4),"")</f>
        <v/>
      </c>
      <c r="P4" s="2">
        <f>COUNTIFS(Credits!$E:$E,"B/Y",Credits!$F:$F,"#22",Credits!$G:$G,"ENTRY_C")</f>
        <v/>
      </c>
      <c r="Q4" s="2">
        <f>COUNTIFS(Credits!$E:$E,"B/Y",Credits!$F:$F,"#22",Credits!$G:$G,"ENTRY_D")</f>
        <v/>
      </c>
      <c r="R4" s="2">
        <f>COUNTIFS(Credits!$E:$E,"B/Y",Credits!$F:$F,"#22",Credits!$G:$G,"EXIT_C")</f>
        <v/>
      </c>
      <c r="S4" s="2">
        <f>COUNTIFS(Credits!$E:$E,"B/Y",Credits!$F:$F,"#22",Credits!$G:$G,"EXIT_CL")</f>
        <v/>
      </c>
      <c r="T4" s="2">
        <f>COUNTIFS(Credits!$E:$E,"B/Y",Credits!$F:$F,"#22",Credits!$G:$G,"GIVE")</f>
        <v/>
      </c>
      <c r="U4" s="2">
        <f>COUNTIFS(Credits!$E:$E,"B/Y",Credits!$F:$F,"#22",Credits!$G:$G,"TAKE")</f>
        <v/>
      </c>
      <c r="V4" s="2">
        <f>COUNTIFS(Credits!$E:$E,"B/Y",Credits!$F:$F,"#22",Credits!$G:$G,"PASS")</f>
        <v/>
      </c>
      <c r="W4" s="2">
        <f>COUNTIFS(Credits!$E:$E,"B/Y",Credits!$F:$F,"#22",Credits!$G:$G,"PASS_C")</f>
        <v/>
      </c>
      <c r="X4" s="5">
        <f>IFERROR(W4/V4,"")</f>
        <v/>
      </c>
      <c r="Y4" s="2">
        <f>COUNTIFS(Credits!$E:$E,"B/Y",Credits!$F:$F,"#22",Credits!$G:$G,"PEN")</f>
        <v/>
      </c>
      <c r="Z4" s="2" t="inlineStr">
        <is>
          <t>1:00</t>
        </is>
      </c>
      <c r="AA4" s="2" t="n">
        <v>60</v>
      </c>
      <c r="AB4" s="2" t="n">
        <v>1</v>
      </c>
      <c r="AC4" s="2" t="n">
        <v>1</v>
      </c>
      <c r="AD4" s="2" t="n">
        <v>0</v>
      </c>
      <c r="AE4" s="2">
        <f>AC4-AD4</f>
        <v/>
      </c>
    </row>
    <row r="5">
      <c r="A5" s="2" t="inlineStr">
        <is>
          <t>B/Y</t>
        </is>
      </c>
      <c r="B5" s="2" t="inlineStr">
        <is>
          <t>#33</t>
        </is>
      </c>
      <c r="C5" s="2" t="inlineStr"/>
      <c r="D5" s="2">
        <f>COUNTIFS(Credits!$E:$E,"B/Y",Credits!$F:$F,"#33",Credits!$G:$G,"GOAL")</f>
        <v/>
      </c>
      <c r="E5" s="2">
        <f>COUNTIFS(Credits!$E:$E,"B/Y",Credits!$F:$F,"#33",Credits!$G:$G,"ASSIST")</f>
        <v/>
      </c>
      <c r="F5" s="2">
        <f>D5+E5</f>
        <v/>
      </c>
      <c r="G5" s="2">
        <f>COUNTIFS(Credits!$E:$E,"B/Y",Credits!$F:$F,"#33",Credits!$G:$G,"SOG")</f>
        <v/>
      </c>
      <c r="H5" s="2">
        <f>COUNTIFS(Credits!$E:$E,"B/Y",Credits!$F:$F,"#33",Credits!$G:$G,"MISS")</f>
        <v/>
      </c>
      <c r="I5" s="2">
        <f>COUNTIFS(Credits!$E:$E,"B/Y",Credits!$F:$F,"#33",Credits!$G:$G,"BLOCK")</f>
        <v/>
      </c>
      <c r="J5" s="2">
        <f>G5+H5+I5</f>
        <v/>
      </c>
      <c r="K5" s="2">
        <f>COUNTIFS(Credits!$E:$E,"B/Y",Credits!$F:$F,"#33",Credits!$G:$G,"CHANCE")</f>
        <v/>
      </c>
      <c r="L5" s="2">
        <f>COUNTIFS(Credits!$E:$E,"B/Y",Credits!$F:$F,"#33",Credits!$G:$G,"CHANCE_HD")</f>
        <v/>
      </c>
      <c r="M5" s="2">
        <f>COUNTIFS(Credits!$E:$E,"B/Y",Credits!$F:$F,"#33",Credits!$G:$G,"FO_W")</f>
        <v/>
      </c>
      <c r="N5" s="2">
        <f>COUNTIFS(Credits!$E:$E,"B/Y",Credits!$F:$F,"#33",Credits!$G:$G,"FO_L")</f>
        <v/>
      </c>
      <c r="O5" s="5">
        <f>IFERROR(M5/(M5+N5),"")</f>
        <v/>
      </c>
      <c r="P5" s="2">
        <f>COUNTIFS(Credits!$E:$E,"B/Y",Credits!$F:$F,"#33",Credits!$G:$G,"ENTRY_C")</f>
        <v/>
      </c>
      <c r="Q5" s="2">
        <f>COUNTIFS(Credits!$E:$E,"B/Y",Credits!$F:$F,"#33",Credits!$G:$G,"ENTRY_D")</f>
        <v/>
      </c>
      <c r="R5" s="2">
        <f>COUNTIFS(Credits!$E:$E,"B/Y",Credits!$F:$F,"#33",Credits!$G:$G,"EXIT_C")</f>
        <v/>
      </c>
      <c r="S5" s="2">
        <f>COUNTIFS(Credits!$E:$E,"B/Y",Credits!$F:$F,"#33",Credits!$G:$G,"EXIT_CL")</f>
        <v/>
      </c>
      <c r="T5" s="2">
        <f>COUNTIFS(Credits!$E:$E,"B/Y",Credits!$F:$F,"#33",Credits!$G:$G,"GIVE")</f>
        <v/>
      </c>
      <c r="U5" s="2">
        <f>COUNTIFS(Credits!$E:$E,"B/Y",Credits!$F:$F,"#33",Credits!$G:$G,"TAKE")</f>
        <v/>
      </c>
      <c r="V5" s="2">
        <f>COUNTIFS(Credits!$E:$E,"B/Y",Credits!$F:$F,"#33",Credits!$G:$G,"PASS")</f>
        <v/>
      </c>
      <c r="W5" s="2">
        <f>COUNTIFS(Credits!$E:$E,"B/Y",Credits!$F:$F,"#33",Credits!$G:$G,"PASS_C")</f>
        <v/>
      </c>
      <c r="X5" s="5">
        <f>IFERROR(W5/V5,"")</f>
        <v/>
      </c>
      <c r="Y5" s="2">
        <f>COUNTIFS(Credits!$E:$E,"B/Y",Credits!$F:$F,"#33",Credits!$G:$G,"PEN")</f>
        <v/>
      </c>
      <c r="Z5" s="2" t="inlineStr">
        <is>
          <t>1:00</t>
        </is>
      </c>
      <c r="AA5" s="2" t="n">
        <v>60</v>
      </c>
      <c r="AB5" s="2" t="n">
        <v>1</v>
      </c>
      <c r="AC5" s="2" t="n">
        <v>1</v>
      </c>
      <c r="AD5" s="2" t="n">
        <v>0</v>
      </c>
      <c r="AE5" s="2">
        <f>AC5-AD5</f>
        <v/>
      </c>
    </row>
    <row r="6">
      <c r="A6" s="2" t="inlineStr">
        <is>
          <t>B/Y</t>
        </is>
      </c>
      <c r="B6" s="2" t="inlineStr">
        <is>
          <t>#44</t>
        </is>
      </c>
      <c r="C6" s="2" t="inlineStr"/>
      <c r="D6" s="2">
        <f>COUNTIFS(Credits!$E:$E,"B/Y",Credits!$F:$F,"#44",Credits!$G:$G,"GOAL")</f>
        <v/>
      </c>
      <c r="E6" s="2">
        <f>COUNTIFS(Credits!$E:$E,"B/Y",Credits!$F:$F,"#44",Credits!$G:$G,"ASSIST")</f>
        <v/>
      </c>
      <c r="F6" s="2">
        <f>D6+E6</f>
        <v/>
      </c>
      <c r="G6" s="2">
        <f>COUNTIFS(Credits!$E:$E,"B/Y",Credits!$F:$F,"#44",Credits!$G:$G,"SOG")</f>
        <v/>
      </c>
      <c r="H6" s="2">
        <f>COUNTIFS(Credits!$E:$E,"B/Y",Credits!$F:$F,"#44",Credits!$G:$G,"MISS")</f>
        <v/>
      </c>
      <c r="I6" s="2">
        <f>COUNTIFS(Credits!$E:$E,"B/Y",Credits!$F:$F,"#44",Credits!$G:$G,"BLOCK")</f>
        <v/>
      </c>
      <c r="J6" s="2">
        <f>G6+H6+I6</f>
        <v/>
      </c>
      <c r="K6" s="2">
        <f>COUNTIFS(Credits!$E:$E,"B/Y",Credits!$F:$F,"#44",Credits!$G:$G,"CHANCE")</f>
        <v/>
      </c>
      <c r="L6" s="2">
        <f>COUNTIFS(Credits!$E:$E,"B/Y",Credits!$F:$F,"#44",Credits!$G:$G,"CHANCE_HD")</f>
        <v/>
      </c>
      <c r="M6" s="2">
        <f>COUNTIFS(Credits!$E:$E,"B/Y",Credits!$F:$F,"#44",Credits!$G:$G,"FO_W")</f>
        <v/>
      </c>
      <c r="N6" s="2">
        <f>COUNTIFS(Credits!$E:$E,"B/Y",Credits!$F:$F,"#44",Credits!$G:$G,"FO_L")</f>
        <v/>
      </c>
      <c r="O6" s="5">
        <f>IFERROR(M6/(M6+N6),"")</f>
        <v/>
      </c>
      <c r="P6" s="2">
        <f>COUNTIFS(Credits!$E:$E,"B/Y",Credits!$F:$F,"#44",Credits!$G:$G,"ENTRY_C")</f>
        <v/>
      </c>
      <c r="Q6" s="2">
        <f>COUNTIFS(Credits!$E:$E,"B/Y",Credits!$F:$F,"#44",Credits!$G:$G,"ENTRY_D")</f>
        <v/>
      </c>
      <c r="R6" s="2">
        <f>COUNTIFS(Credits!$E:$E,"B/Y",Credits!$F:$F,"#44",Credits!$G:$G,"EXIT_C")</f>
        <v/>
      </c>
      <c r="S6" s="2">
        <f>COUNTIFS(Credits!$E:$E,"B/Y",Credits!$F:$F,"#44",Credits!$G:$G,"EXIT_CL")</f>
        <v/>
      </c>
      <c r="T6" s="2">
        <f>COUNTIFS(Credits!$E:$E,"B/Y",Credits!$F:$F,"#44",Credits!$G:$G,"GIVE")</f>
        <v/>
      </c>
      <c r="U6" s="2">
        <f>COUNTIFS(Credits!$E:$E,"B/Y",Credits!$F:$F,"#44",Credits!$G:$G,"TAKE")</f>
        <v/>
      </c>
      <c r="V6" s="2">
        <f>COUNTIFS(Credits!$E:$E,"B/Y",Credits!$F:$F,"#44",Credits!$G:$G,"PASS")</f>
        <v/>
      </c>
      <c r="W6" s="2">
        <f>COUNTIFS(Credits!$E:$E,"B/Y",Credits!$F:$F,"#44",Credits!$G:$G,"PASS_C")</f>
        <v/>
      </c>
      <c r="X6" s="5">
        <f>IFERROR(W6/V6,"")</f>
        <v/>
      </c>
      <c r="Y6" s="2">
        <f>COUNTIFS(Credits!$E:$E,"B/Y",Credits!$F:$F,"#44",Credits!$G:$G,"PEN")</f>
        <v/>
      </c>
      <c r="Z6" s="2" t="inlineStr">
        <is>
          <t>0:40</t>
        </is>
      </c>
      <c r="AA6" s="2" t="n">
        <v>40</v>
      </c>
      <c r="AB6" s="2" t="n">
        <v>1</v>
      </c>
      <c r="AC6" s="2" t="n">
        <v>0</v>
      </c>
      <c r="AD6" s="2" t="n">
        <v>1</v>
      </c>
      <c r="AE6" s="2">
        <f>AC6-AD6</f>
        <v/>
      </c>
    </row>
    <row r="7">
      <c r="A7" s="2" t="inlineStr">
        <is>
          <t>B/Y</t>
        </is>
      </c>
      <c r="B7" s="2" t="inlineStr">
        <is>
          <t>#55</t>
        </is>
      </c>
      <c r="C7" s="2" t="inlineStr"/>
      <c r="D7" s="2">
        <f>COUNTIFS(Credits!$E:$E,"B/Y",Credits!$F:$F,"#55",Credits!$G:$G,"GOAL")</f>
        <v/>
      </c>
      <c r="E7" s="2">
        <f>COUNTIFS(Credits!$E:$E,"B/Y",Credits!$F:$F,"#55",Credits!$G:$G,"ASSIST")</f>
        <v/>
      </c>
      <c r="F7" s="2">
        <f>D7+E7</f>
        <v/>
      </c>
      <c r="G7" s="2">
        <f>COUNTIFS(Credits!$E:$E,"B/Y",Credits!$F:$F,"#55",Credits!$G:$G,"SOG")</f>
        <v/>
      </c>
      <c r="H7" s="2">
        <f>COUNTIFS(Credits!$E:$E,"B/Y",Credits!$F:$F,"#55",Credits!$G:$G,"MISS")</f>
        <v/>
      </c>
      <c r="I7" s="2">
        <f>COUNTIFS(Credits!$E:$E,"B/Y",Credits!$F:$F,"#55",Credits!$G:$G,"BLOCK")</f>
        <v/>
      </c>
      <c r="J7" s="2">
        <f>G7+H7+I7</f>
        <v/>
      </c>
      <c r="K7" s="2">
        <f>COUNTIFS(Credits!$E:$E,"B/Y",Credits!$F:$F,"#55",Credits!$G:$G,"CHANCE")</f>
        <v/>
      </c>
      <c r="L7" s="2">
        <f>COUNTIFS(Credits!$E:$E,"B/Y",Credits!$F:$F,"#55",Credits!$G:$G,"CHANCE_HD")</f>
        <v/>
      </c>
      <c r="M7" s="2">
        <f>COUNTIFS(Credits!$E:$E,"B/Y",Credits!$F:$F,"#55",Credits!$G:$G,"FO_W")</f>
        <v/>
      </c>
      <c r="N7" s="2">
        <f>COUNTIFS(Credits!$E:$E,"B/Y",Credits!$F:$F,"#55",Credits!$G:$G,"FO_L")</f>
        <v/>
      </c>
      <c r="O7" s="5">
        <f>IFERROR(M7/(M7+N7),"")</f>
        <v/>
      </c>
      <c r="P7" s="2">
        <f>COUNTIFS(Credits!$E:$E,"B/Y",Credits!$F:$F,"#55",Credits!$G:$G,"ENTRY_C")</f>
        <v/>
      </c>
      <c r="Q7" s="2">
        <f>COUNTIFS(Credits!$E:$E,"B/Y",Credits!$F:$F,"#55",Credits!$G:$G,"ENTRY_D")</f>
        <v/>
      </c>
      <c r="R7" s="2">
        <f>COUNTIFS(Credits!$E:$E,"B/Y",Credits!$F:$F,"#55",Credits!$G:$G,"EXIT_C")</f>
        <v/>
      </c>
      <c r="S7" s="2">
        <f>COUNTIFS(Credits!$E:$E,"B/Y",Credits!$F:$F,"#55",Credits!$G:$G,"EXIT_CL")</f>
        <v/>
      </c>
      <c r="T7" s="2">
        <f>COUNTIFS(Credits!$E:$E,"B/Y",Credits!$F:$F,"#55",Credits!$G:$G,"GIVE")</f>
        <v/>
      </c>
      <c r="U7" s="2">
        <f>COUNTIFS(Credits!$E:$E,"B/Y",Credits!$F:$F,"#55",Credits!$G:$G,"TAKE")</f>
        <v/>
      </c>
      <c r="V7" s="2">
        <f>COUNTIFS(Credits!$E:$E,"B/Y",Credits!$F:$F,"#55",Credits!$G:$G,"PASS")</f>
        <v/>
      </c>
      <c r="W7" s="2">
        <f>COUNTIFS(Credits!$E:$E,"B/Y",Credits!$F:$F,"#55",Credits!$G:$G,"PASS_C")</f>
        <v/>
      </c>
      <c r="X7" s="5">
        <f>IFERROR(W7/V7,"")</f>
        <v/>
      </c>
      <c r="Y7" s="2">
        <f>COUNTIFS(Credits!$E:$E,"B/Y",Credits!$F:$F,"#55",Credits!$G:$G,"PEN")</f>
        <v/>
      </c>
      <c r="Z7" s="2" t="inlineStr">
        <is>
          <t>0:40</t>
        </is>
      </c>
      <c r="AA7" s="2" t="n">
        <v>40</v>
      </c>
      <c r="AB7" s="2" t="n">
        <v>1</v>
      </c>
      <c r="AC7" s="2" t="n">
        <v>0</v>
      </c>
      <c r="AD7" s="2" t="n">
        <v>1</v>
      </c>
      <c r="AE7" s="2">
        <f>AC7-AD7</f>
        <v/>
      </c>
    </row>
    <row r="8">
      <c r="A8" s="2" t="inlineStr">
        <is>
          <t>B/Y</t>
        </is>
      </c>
      <c r="B8" s="2" t="inlineStr">
        <is>
          <t>#66</t>
        </is>
      </c>
      <c r="C8" s="2" t="inlineStr"/>
      <c r="D8" s="2">
        <f>COUNTIFS(Credits!$E:$E,"B/Y",Credits!$F:$F,"#66",Credits!$G:$G,"GOAL")</f>
        <v/>
      </c>
      <c r="E8" s="2">
        <f>COUNTIFS(Credits!$E:$E,"B/Y",Credits!$F:$F,"#66",Credits!$G:$G,"ASSIST")</f>
        <v/>
      </c>
      <c r="F8" s="2">
        <f>D8+E8</f>
        <v/>
      </c>
      <c r="G8" s="2">
        <f>COUNTIFS(Credits!$E:$E,"B/Y",Credits!$F:$F,"#66",Credits!$G:$G,"SOG")</f>
        <v/>
      </c>
      <c r="H8" s="2">
        <f>COUNTIFS(Credits!$E:$E,"B/Y",Credits!$F:$F,"#66",Credits!$G:$G,"MISS")</f>
        <v/>
      </c>
      <c r="I8" s="2">
        <f>COUNTIFS(Credits!$E:$E,"B/Y",Credits!$F:$F,"#66",Credits!$G:$G,"BLOCK")</f>
        <v/>
      </c>
      <c r="J8" s="2">
        <f>G8+H8+I8</f>
        <v/>
      </c>
      <c r="K8" s="2">
        <f>COUNTIFS(Credits!$E:$E,"B/Y",Credits!$F:$F,"#66",Credits!$G:$G,"CHANCE")</f>
        <v/>
      </c>
      <c r="L8" s="2">
        <f>COUNTIFS(Credits!$E:$E,"B/Y",Credits!$F:$F,"#66",Credits!$G:$G,"CHANCE_HD")</f>
        <v/>
      </c>
      <c r="M8" s="2">
        <f>COUNTIFS(Credits!$E:$E,"B/Y",Credits!$F:$F,"#66",Credits!$G:$G,"FO_W")</f>
        <v/>
      </c>
      <c r="N8" s="2">
        <f>COUNTIFS(Credits!$E:$E,"B/Y",Credits!$F:$F,"#66",Credits!$G:$G,"FO_L")</f>
        <v/>
      </c>
      <c r="O8" s="5">
        <f>IFERROR(M8/(M8+N8),"")</f>
        <v/>
      </c>
      <c r="P8" s="2">
        <f>COUNTIFS(Credits!$E:$E,"B/Y",Credits!$F:$F,"#66",Credits!$G:$G,"ENTRY_C")</f>
        <v/>
      </c>
      <c r="Q8" s="2">
        <f>COUNTIFS(Credits!$E:$E,"B/Y",Credits!$F:$F,"#66",Credits!$G:$G,"ENTRY_D")</f>
        <v/>
      </c>
      <c r="R8" s="2">
        <f>COUNTIFS(Credits!$E:$E,"B/Y",Credits!$F:$F,"#66",Credits!$G:$G,"EXIT_C")</f>
        <v/>
      </c>
      <c r="S8" s="2">
        <f>COUNTIFS(Credits!$E:$E,"B/Y",Credits!$F:$F,"#66",Credits!$G:$G,"EXIT_CL")</f>
        <v/>
      </c>
      <c r="T8" s="2">
        <f>COUNTIFS(Credits!$E:$E,"B/Y",Credits!$F:$F,"#66",Credits!$G:$G,"GIVE")</f>
        <v/>
      </c>
      <c r="U8" s="2">
        <f>COUNTIFS(Credits!$E:$E,"B/Y",Credits!$F:$F,"#66",Credits!$G:$G,"TAKE")</f>
        <v/>
      </c>
      <c r="V8" s="2">
        <f>COUNTIFS(Credits!$E:$E,"B/Y",Credits!$F:$F,"#66",Credits!$G:$G,"PASS")</f>
        <v/>
      </c>
      <c r="W8" s="2">
        <f>COUNTIFS(Credits!$E:$E,"B/Y",Credits!$F:$F,"#66",Credits!$G:$G,"PASS_C")</f>
        <v/>
      </c>
      <c r="X8" s="5">
        <f>IFERROR(W8/V8,"")</f>
        <v/>
      </c>
      <c r="Y8" s="2">
        <f>COUNTIFS(Credits!$E:$E,"B/Y",Credits!$F:$F,"#66",Credits!$G:$G,"PEN")</f>
        <v/>
      </c>
      <c r="Z8" s="2" t="inlineStr">
        <is>
          <t>0:40</t>
        </is>
      </c>
      <c r="AA8" s="2" t="n">
        <v>40</v>
      </c>
      <c r="AB8" s="2" t="n">
        <v>1</v>
      </c>
      <c r="AC8" s="2" t="n">
        <v>0</v>
      </c>
      <c r="AD8" s="2" t="n">
        <v>1</v>
      </c>
      <c r="AE8" s="2">
        <f>AC8-AD8</f>
        <v/>
      </c>
    </row>
    <row r="9">
      <c r="A9" s="2" t="inlineStr">
        <is>
          <t>GRN</t>
        </is>
      </c>
      <c r="B9" s="2" t="inlineStr">
        <is>
          <t>#30</t>
        </is>
      </c>
      <c r="C9" s="2" t="inlineStr">
        <is>
          <t>G</t>
        </is>
      </c>
      <c r="D9" s="2">
        <f>COUNTIFS(Credits!$E:$E,"GRN",Credits!$F:$F,"#30",Credits!$G:$G,"GOAL")</f>
        <v/>
      </c>
      <c r="E9" s="2">
        <f>COUNTIFS(Credits!$E:$E,"GRN",Credits!$F:$F,"#30",Credits!$G:$G,"ASSIST")</f>
        <v/>
      </c>
      <c r="F9" s="2">
        <f>D9+E9</f>
        <v/>
      </c>
      <c r="G9" s="2">
        <f>COUNTIFS(Credits!$E:$E,"GRN",Credits!$F:$F,"#30",Credits!$G:$G,"SOG")</f>
        <v/>
      </c>
      <c r="H9" s="2">
        <f>COUNTIFS(Credits!$E:$E,"GRN",Credits!$F:$F,"#30",Credits!$G:$G,"MISS")</f>
        <v/>
      </c>
      <c r="I9" s="2">
        <f>COUNTIFS(Credits!$E:$E,"GRN",Credits!$F:$F,"#30",Credits!$G:$G,"BLOCK")</f>
        <v/>
      </c>
      <c r="J9" s="2">
        <f>G9+H9+I9</f>
        <v/>
      </c>
      <c r="K9" s="2">
        <f>COUNTIFS(Credits!$E:$E,"GRN",Credits!$F:$F,"#30",Credits!$G:$G,"CHANCE")</f>
        <v/>
      </c>
      <c r="L9" s="2">
        <f>COUNTIFS(Credits!$E:$E,"GRN",Credits!$F:$F,"#30",Credits!$G:$G,"CHANCE_HD")</f>
        <v/>
      </c>
      <c r="M9" s="2">
        <f>COUNTIFS(Credits!$E:$E,"GRN",Credits!$F:$F,"#30",Credits!$G:$G,"FO_W")</f>
        <v/>
      </c>
      <c r="N9" s="2">
        <f>COUNTIFS(Credits!$E:$E,"GRN",Credits!$F:$F,"#30",Credits!$G:$G,"FO_L")</f>
        <v/>
      </c>
      <c r="O9" s="5">
        <f>IFERROR(M9/(M9+N9),"")</f>
        <v/>
      </c>
      <c r="P9" s="2">
        <f>COUNTIFS(Credits!$E:$E,"GRN",Credits!$F:$F,"#30",Credits!$G:$G,"ENTRY_C")</f>
        <v/>
      </c>
      <c r="Q9" s="2">
        <f>COUNTIFS(Credits!$E:$E,"GRN",Credits!$F:$F,"#30",Credits!$G:$G,"ENTRY_D")</f>
        <v/>
      </c>
      <c r="R9" s="2">
        <f>COUNTIFS(Credits!$E:$E,"GRN",Credits!$F:$F,"#30",Credits!$G:$G,"EXIT_C")</f>
        <v/>
      </c>
      <c r="S9" s="2">
        <f>COUNTIFS(Credits!$E:$E,"GRN",Credits!$F:$F,"#30",Credits!$G:$G,"EXIT_CL")</f>
        <v/>
      </c>
      <c r="T9" s="2">
        <f>COUNTIFS(Credits!$E:$E,"GRN",Credits!$F:$F,"#30",Credits!$G:$G,"GIVE")</f>
        <v/>
      </c>
      <c r="U9" s="2">
        <f>COUNTIFS(Credits!$E:$E,"GRN",Credits!$F:$F,"#30",Credits!$G:$G,"TAKE")</f>
        <v/>
      </c>
      <c r="V9" s="2">
        <f>COUNTIFS(Credits!$E:$E,"GRN",Credits!$F:$F,"#30",Credits!$G:$G,"PASS")</f>
        <v/>
      </c>
      <c r="W9" s="2">
        <f>COUNTIFS(Credits!$E:$E,"GRN",Credits!$F:$F,"#30",Credits!$G:$G,"PASS_C")</f>
        <v/>
      </c>
      <c r="X9" s="5">
        <f>IFERROR(W9/V9,"")</f>
        <v/>
      </c>
      <c r="Y9" s="2">
        <f>COUNTIFS(Credits!$E:$E,"GRN",Credits!$F:$F,"#30",Credits!$G:$G,"PEN")</f>
        <v/>
      </c>
      <c r="Z9" s="2" t="inlineStr">
        <is>
          <t>0:00</t>
        </is>
      </c>
      <c r="AA9" s="2" t="n">
        <v>0</v>
      </c>
      <c r="AB9" s="2" t="n">
        <v>0</v>
      </c>
      <c r="AC9" s="2" t="n">
        <v>0</v>
      </c>
      <c r="AD9" s="2" t="n">
        <v>0</v>
      </c>
      <c r="AE9" s="2">
        <f>AC9-AD9</f>
        <v/>
      </c>
    </row>
    <row r="10">
      <c r="A10" s="2" t="inlineStr">
        <is>
          <t>GRN</t>
        </is>
      </c>
      <c r="B10" s="2" t="inlineStr">
        <is>
          <t>#32</t>
        </is>
      </c>
      <c r="C10" s="2" t="inlineStr"/>
      <c r="D10" s="2">
        <f>COUNTIFS(Credits!$E:$E,"GRN",Credits!$F:$F,"#32",Credits!$G:$G,"GOAL")</f>
        <v/>
      </c>
      <c r="E10" s="2">
        <f>COUNTIFS(Credits!$E:$E,"GRN",Credits!$F:$F,"#32",Credits!$G:$G,"ASSIST")</f>
        <v/>
      </c>
      <c r="F10" s="2">
        <f>D10+E10</f>
        <v/>
      </c>
      <c r="G10" s="2">
        <f>COUNTIFS(Credits!$E:$E,"GRN",Credits!$F:$F,"#32",Credits!$G:$G,"SOG")</f>
        <v/>
      </c>
      <c r="H10" s="2">
        <f>COUNTIFS(Credits!$E:$E,"GRN",Credits!$F:$F,"#32",Credits!$G:$G,"MISS")</f>
        <v/>
      </c>
      <c r="I10" s="2">
        <f>COUNTIFS(Credits!$E:$E,"GRN",Credits!$F:$F,"#32",Credits!$G:$G,"BLOCK")</f>
        <v/>
      </c>
      <c r="J10" s="2">
        <f>G10+H10+I10</f>
        <v/>
      </c>
      <c r="K10" s="2">
        <f>COUNTIFS(Credits!$E:$E,"GRN",Credits!$F:$F,"#32",Credits!$G:$G,"CHANCE")</f>
        <v/>
      </c>
      <c r="L10" s="2">
        <f>COUNTIFS(Credits!$E:$E,"GRN",Credits!$F:$F,"#32",Credits!$G:$G,"CHANCE_HD")</f>
        <v/>
      </c>
      <c r="M10" s="2">
        <f>COUNTIFS(Credits!$E:$E,"GRN",Credits!$F:$F,"#32",Credits!$G:$G,"FO_W")</f>
        <v/>
      </c>
      <c r="N10" s="2">
        <f>COUNTIFS(Credits!$E:$E,"GRN",Credits!$F:$F,"#32",Credits!$G:$G,"FO_L")</f>
        <v/>
      </c>
      <c r="O10" s="5">
        <f>IFERROR(M10/(M10+N10),"")</f>
        <v/>
      </c>
      <c r="P10" s="2">
        <f>COUNTIFS(Credits!$E:$E,"GRN",Credits!$F:$F,"#32",Credits!$G:$G,"ENTRY_C")</f>
        <v/>
      </c>
      <c r="Q10" s="2">
        <f>COUNTIFS(Credits!$E:$E,"GRN",Credits!$F:$F,"#32",Credits!$G:$G,"ENTRY_D")</f>
        <v/>
      </c>
      <c r="R10" s="2">
        <f>COUNTIFS(Credits!$E:$E,"GRN",Credits!$F:$F,"#32",Credits!$G:$G,"EXIT_C")</f>
        <v/>
      </c>
      <c r="S10" s="2">
        <f>COUNTIFS(Credits!$E:$E,"GRN",Credits!$F:$F,"#32",Credits!$G:$G,"EXIT_CL")</f>
        <v/>
      </c>
      <c r="T10" s="2">
        <f>COUNTIFS(Credits!$E:$E,"GRN",Credits!$F:$F,"#32",Credits!$G:$G,"GIVE")</f>
        <v/>
      </c>
      <c r="U10" s="2">
        <f>COUNTIFS(Credits!$E:$E,"GRN",Credits!$F:$F,"#32",Credits!$G:$G,"TAKE")</f>
        <v/>
      </c>
      <c r="V10" s="2">
        <f>COUNTIFS(Credits!$E:$E,"GRN",Credits!$F:$F,"#32",Credits!$G:$G,"PASS")</f>
        <v/>
      </c>
      <c r="W10" s="2">
        <f>COUNTIFS(Credits!$E:$E,"GRN",Credits!$F:$F,"#32",Credits!$G:$G,"PASS_C")</f>
        <v/>
      </c>
      <c r="X10" s="5">
        <f>IFERROR(W10/V10,"")</f>
        <v/>
      </c>
      <c r="Y10" s="2">
        <f>COUNTIFS(Credits!$E:$E,"GRN",Credits!$F:$F,"#32",Credits!$G:$G,"PEN")</f>
        <v/>
      </c>
      <c r="Z10" s="2" t="inlineStr">
        <is>
          <t>1:40</t>
        </is>
      </c>
      <c r="AA10" s="2" t="n">
        <v>100</v>
      </c>
      <c r="AB10" s="2" t="n">
        <v>1</v>
      </c>
      <c r="AC10" s="2" t="n">
        <v>1</v>
      </c>
      <c r="AD10" s="2" t="n">
        <v>1</v>
      </c>
      <c r="AE10" s="2">
        <f>AC10-AD10</f>
        <v/>
      </c>
    </row>
    <row r="11">
      <c r="A11" s="2" t="inlineStr">
        <is>
          <t>GRN</t>
        </is>
      </c>
      <c r="B11" s="2" t="inlineStr">
        <is>
          <t>#77</t>
        </is>
      </c>
      <c r="C11" s="2" t="inlineStr"/>
      <c r="D11" s="2">
        <f>COUNTIFS(Credits!$E:$E,"GRN",Credits!$F:$F,"#77",Credits!$G:$G,"GOAL")</f>
        <v/>
      </c>
      <c r="E11" s="2">
        <f>COUNTIFS(Credits!$E:$E,"GRN",Credits!$F:$F,"#77",Credits!$G:$G,"ASSIST")</f>
        <v/>
      </c>
      <c r="F11" s="2">
        <f>D11+E11</f>
        <v/>
      </c>
      <c r="G11" s="2">
        <f>COUNTIFS(Credits!$E:$E,"GRN",Credits!$F:$F,"#77",Credits!$G:$G,"SOG")</f>
        <v/>
      </c>
      <c r="H11" s="2">
        <f>COUNTIFS(Credits!$E:$E,"GRN",Credits!$F:$F,"#77",Credits!$G:$G,"MISS")</f>
        <v/>
      </c>
      <c r="I11" s="2">
        <f>COUNTIFS(Credits!$E:$E,"GRN",Credits!$F:$F,"#77",Credits!$G:$G,"BLOCK")</f>
        <v/>
      </c>
      <c r="J11" s="2">
        <f>G11+H11+I11</f>
        <v/>
      </c>
      <c r="K11" s="2">
        <f>COUNTIFS(Credits!$E:$E,"GRN",Credits!$F:$F,"#77",Credits!$G:$G,"CHANCE")</f>
        <v/>
      </c>
      <c r="L11" s="2">
        <f>COUNTIFS(Credits!$E:$E,"GRN",Credits!$F:$F,"#77",Credits!$G:$G,"CHANCE_HD")</f>
        <v/>
      </c>
      <c r="M11" s="2">
        <f>COUNTIFS(Credits!$E:$E,"GRN",Credits!$F:$F,"#77",Credits!$G:$G,"FO_W")</f>
        <v/>
      </c>
      <c r="N11" s="2">
        <f>COUNTIFS(Credits!$E:$E,"GRN",Credits!$F:$F,"#77",Credits!$G:$G,"FO_L")</f>
        <v/>
      </c>
      <c r="O11" s="5">
        <f>IFERROR(M11/(M11+N11),"")</f>
        <v/>
      </c>
      <c r="P11" s="2">
        <f>COUNTIFS(Credits!$E:$E,"GRN",Credits!$F:$F,"#77",Credits!$G:$G,"ENTRY_C")</f>
        <v/>
      </c>
      <c r="Q11" s="2">
        <f>COUNTIFS(Credits!$E:$E,"GRN",Credits!$F:$F,"#77",Credits!$G:$G,"ENTRY_D")</f>
        <v/>
      </c>
      <c r="R11" s="2">
        <f>COUNTIFS(Credits!$E:$E,"GRN",Credits!$F:$F,"#77",Credits!$G:$G,"EXIT_C")</f>
        <v/>
      </c>
      <c r="S11" s="2">
        <f>COUNTIFS(Credits!$E:$E,"GRN",Credits!$F:$F,"#77",Credits!$G:$G,"EXIT_CL")</f>
        <v/>
      </c>
      <c r="T11" s="2">
        <f>COUNTIFS(Credits!$E:$E,"GRN",Credits!$F:$F,"#77",Credits!$G:$G,"GIVE")</f>
        <v/>
      </c>
      <c r="U11" s="2">
        <f>COUNTIFS(Credits!$E:$E,"GRN",Credits!$F:$F,"#77",Credits!$G:$G,"TAKE")</f>
        <v/>
      </c>
      <c r="V11" s="2">
        <f>COUNTIFS(Credits!$E:$E,"GRN",Credits!$F:$F,"#77",Credits!$G:$G,"PASS")</f>
        <v/>
      </c>
      <c r="W11" s="2">
        <f>COUNTIFS(Credits!$E:$E,"GRN",Credits!$F:$F,"#77",Credits!$G:$G,"PASS_C")</f>
        <v/>
      </c>
      <c r="X11" s="5">
        <f>IFERROR(W11/V11,"")</f>
        <v/>
      </c>
      <c r="Y11" s="2">
        <f>COUNTIFS(Credits!$E:$E,"GRN",Credits!$F:$F,"#77",Credits!$G:$G,"PEN")</f>
        <v/>
      </c>
      <c r="Z11" s="2" t="inlineStr">
        <is>
          <t>1:40</t>
        </is>
      </c>
      <c r="AA11" s="2" t="n">
        <v>100</v>
      </c>
      <c r="AB11" s="2" t="n">
        <v>1</v>
      </c>
      <c r="AC11" s="2" t="n">
        <v>1</v>
      </c>
      <c r="AD11" s="2" t="n">
        <v>1</v>
      </c>
      <c r="AE11" s="2">
        <f>AC11-AD11</f>
        <v/>
      </c>
    </row>
    <row r="12">
      <c r="A12" s="2" t="inlineStr">
        <is>
          <t>GRN</t>
        </is>
      </c>
      <c r="B12" s="2" t="inlineStr">
        <is>
          <t>#98</t>
        </is>
      </c>
      <c r="C12" s="2" t="inlineStr"/>
      <c r="D12" s="2">
        <f>COUNTIFS(Credits!$E:$E,"GRN",Credits!$F:$F,"#98",Credits!$G:$G,"GOAL")</f>
        <v/>
      </c>
      <c r="E12" s="2">
        <f>COUNTIFS(Credits!$E:$E,"GRN",Credits!$F:$F,"#98",Credits!$G:$G,"ASSIST")</f>
        <v/>
      </c>
      <c r="F12" s="2">
        <f>D12+E12</f>
        <v/>
      </c>
      <c r="G12" s="2">
        <f>COUNTIFS(Credits!$E:$E,"GRN",Credits!$F:$F,"#98",Credits!$G:$G,"SOG")</f>
        <v/>
      </c>
      <c r="H12" s="2">
        <f>COUNTIFS(Credits!$E:$E,"GRN",Credits!$F:$F,"#98",Credits!$G:$G,"MISS")</f>
        <v/>
      </c>
      <c r="I12" s="2">
        <f>COUNTIFS(Credits!$E:$E,"GRN",Credits!$F:$F,"#98",Credits!$G:$G,"BLOCK")</f>
        <v/>
      </c>
      <c r="J12" s="2">
        <f>G12+H12+I12</f>
        <v/>
      </c>
      <c r="K12" s="2">
        <f>COUNTIFS(Credits!$E:$E,"GRN",Credits!$F:$F,"#98",Credits!$G:$G,"CHANCE")</f>
        <v/>
      </c>
      <c r="L12" s="2">
        <f>COUNTIFS(Credits!$E:$E,"GRN",Credits!$F:$F,"#98",Credits!$G:$G,"CHANCE_HD")</f>
        <v/>
      </c>
      <c r="M12" s="2">
        <f>COUNTIFS(Credits!$E:$E,"GRN",Credits!$F:$F,"#98",Credits!$G:$G,"FO_W")</f>
        <v/>
      </c>
      <c r="N12" s="2">
        <f>COUNTIFS(Credits!$E:$E,"GRN",Credits!$F:$F,"#98",Credits!$G:$G,"FO_L")</f>
        <v/>
      </c>
      <c r="O12" s="5">
        <f>IFERROR(M12/(M12+N12),"")</f>
        <v/>
      </c>
      <c r="P12" s="2">
        <f>COUNTIFS(Credits!$E:$E,"GRN",Credits!$F:$F,"#98",Credits!$G:$G,"ENTRY_C")</f>
        <v/>
      </c>
      <c r="Q12" s="2">
        <f>COUNTIFS(Credits!$E:$E,"GRN",Credits!$F:$F,"#98",Credits!$G:$G,"ENTRY_D")</f>
        <v/>
      </c>
      <c r="R12" s="2">
        <f>COUNTIFS(Credits!$E:$E,"GRN",Credits!$F:$F,"#98",Credits!$G:$G,"EXIT_C")</f>
        <v/>
      </c>
      <c r="S12" s="2">
        <f>COUNTIFS(Credits!$E:$E,"GRN",Credits!$F:$F,"#98",Credits!$G:$G,"EXIT_CL")</f>
        <v/>
      </c>
      <c r="T12" s="2">
        <f>COUNTIFS(Credits!$E:$E,"GRN",Credits!$F:$F,"#98",Credits!$G:$G,"GIVE")</f>
        <v/>
      </c>
      <c r="U12" s="2">
        <f>COUNTIFS(Credits!$E:$E,"GRN",Credits!$F:$F,"#98",Credits!$G:$G,"TAKE")</f>
        <v/>
      </c>
      <c r="V12" s="2">
        <f>COUNTIFS(Credits!$E:$E,"GRN",Credits!$F:$F,"#98",Credits!$G:$G,"PASS")</f>
        <v/>
      </c>
      <c r="W12" s="2">
        <f>COUNTIFS(Credits!$E:$E,"GRN",Credits!$F:$F,"#98",Credits!$G:$G,"PASS_C")</f>
        <v/>
      </c>
      <c r="X12" s="5">
        <f>IFERROR(W12/V12,"")</f>
        <v/>
      </c>
      <c r="Y12" s="2">
        <f>COUNTIFS(Credits!$E:$E,"GRN",Credits!$F:$F,"#98",Credits!$G:$G,"PEN")</f>
        <v/>
      </c>
      <c r="Z12" s="2" t="inlineStr">
        <is>
          <t>1:40</t>
        </is>
      </c>
      <c r="AA12" s="2" t="n">
        <v>100</v>
      </c>
      <c r="AB12" s="2" t="n">
        <v>1</v>
      </c>
      <c r="AC12" s="2" t="n">
        <v>1</v>
      </c>
      <c r="AD12" s="2" t="n">
        <v>1</v>
      </c>
      <c r="AE12" s="2">
        <f>AC12-AD12</f>
        <v/>
      </c>
    </row>
    <row r="14">
      <c r="A14" s="4" t="inlineStr">
        <is>
          <t>Counted columns are live COUNTIFS formulas over the Credits sheet. TOI, shifts and on-ice goals come from the on-ice sets.</t>
        </is>
      </c>
    </row>
  </sheetData>
  <autoFilter ref="A1:A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Team</t>
        </is>
      </c>
      <c r="B1" s="1" t="inlineStr">
        <is>
          <t>Goalie</t>
        </is>
      </c>
      <c r="C1" s="1" t="inlineStr">
        <is>
          <t>Shots against</t>
        </is>
      </c>
      <c r="D1" s="1" t="inlineStr">
        <is>
          <t>Saves</t>
        </is>
      </c>
      <c r="E1" s="1" t="inlineStr">
        <is>
          <t>Goals against</t>
        </is>
      </c>
      <c r="F1" s="1" t="inlineStr">
        <is>
          <t>Save %</t>
        </is>
      </c>
    </row>
    <row r="2">
      <c r="A2" s="2" t="inlineStr">
        <is>
          <t>Black/Yellow</t>
        </is>
      </c>
      <c r="B2" s="2" t="inlineStr">
        <is>
          <t>#1</t>
        </is>
      </c>
      <c r="C2" s="2">
        <f>COUNTIFS(Credits!$E:$E,"GRN",Credits!$G:$G,"SOG")</f>
        <v/>
      </c>
      <c r="D2" s="2">
        <f>C2-E2</f>
        <v/>
      </c>
      <c r="E2" s="2">
        <f>COUNTIFS(Credits!$E:$E,"GRN",Credits!$G:$G,"GOAL")</f>
        <v/>
      </c>
      <c r="F2" s="6">
        <f>IFERROR(D2/C2,"")</f>
        <v/>
      </c>
    </row>
    <row r="3">
      <c r="A3" s="2" t="inlineStr">
        <is>
          <t>Green</t>
        </is>
      </c>
      <c r="B3" s="2" t="inlineStr">
        <is>
          <t>#30</t>
        </is>
      </c>
      <c r="C3" s="2">
        <f>COUNTIFS(Credits!$E:$E,"B/Y",Credits!$G:$G,"SOG")</f>
        <v/>
      </c>
      <c r="D3" s="2">
        <f>C3-E3</f>
        <v/>
      </c>
      <c r="E3" s="2">
        <f>COUNTIFS(Credits!$E:$E,"B/Y",Credits!$G:$G,"GOAL")</f>
        <v/>
      </c>
      <c r="F3" s="6">
        <f>IFERROR(D3/C3,"")</f>
        <v/>
      </c>
    </row>
    <row r="5">
      <c r="A5" s="4" t="inlineStr">
        <is>
          <t>Saves are worked out, not tagged: a save is a shot on goal against that did not go in. Goals count as shots on goal.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7" customWidth="1" min="3" max="3"/>
    <col width="16" customWidth="1" min="4" max="4"/>
    <col width="9" customWidth="1" min="5" max="5"/>
    <col width="14" customWidth="1" min="6" max="6"/>
    <col width="24" customWidth="1" min="7" max="7"/>
    <col width="24" customWidth="1" min="8" max="8"/>
    <col width="30" customWidth="1" min="9" max="9"/>
  </cols>
  <sheetData>
    <row r="1">
      <c r="A1" s="1" t="inlineStr">
        <is>
          <t>Video time</t>
        </is>
      </c>
      <c r="B1" s="1" t="inlineStr">
        <is>
          <t>Clock</t>
        </is>
      </c>
      <c r="C1" s="1" t="inlineStr">
        <is>
          <t>Period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Assists</t>
        </is>
      </c>
      <c r="G1" s="1" t="inlineStr">
        <is>
          <t>On ice — B/Y</t>
        </is>
      </c>
      <c r="H1" s="1" t="inlineStr">
        <is>
          <t>On ice — GRN</t>
        </is>
      </c>
      <c r="I1" s="1" t="inlineStr">
        <is>
          <t>Note</t>
        </is>
      </c>
    </row>
    <row r="2">
      <c r="A2" s="2" t="inlineStr">
        <is>
          <t>0:45.0</t>
        </is>
      </c>
      <c r="B2" s="2" t="inlineStr">
        <is>
          <t>14:15</t>
        </is>
      </c>
      <c r="C2" s="2" t="inlineStr">
        <is>
          <t>1</t>
        </is>
      </c>
      <c r="D2" s="2" t="inlineStr">
        <is>
          <t>Black/Yellow</t>
        </is>
      </c>
      <c r="E2" s="2" t="inlineStr">
        <is>
          <t>#22</t>
        </is>
      </c>
      <c r="F2" s="2" t="inlineStr">
        <is>
          <t>#11</t>
        </is>
      </c>
      <c r="G2" s="2" t="inlineStr">
        <is>
          <t>#11 #22 #33</t>
        </is>
      </c>
      <c r="H2" s="2" t="inlineStr">
        <is>
          <t>#77 #98 #32</t>
        </is>
      </c>
      <c r="I2" s="2" t="inlineStr"/>
    </row>
    <row r="3">
      <c r="A3" s="2" t="inlineStr">
        <is>
          <t>1:30.0</t>
        </is>
      </c>
      <c r="B3" s="2" t="inlineStr">
        <is>
          <t>13:30</t>
        </is>
      </c>
      <c r="C3" s="2" t="inlineStr">
        <is>
          <t>1</t>
        </is>
      </c>
      <c r="D3" s="2" t="inlineStr">
        <is>
          <t>Green</t>
        </is>
      </c>
      <c r="E3" s="2" t="inlineStr">
        <is>
          <t>#98</t>
        </is>
      </c>
      <c r="F3" s="2" t="inlineStr"/>
      <c r="G3" s="2" t="inlineStr">
        <is>
          <t>#44 #55 #66</t>
        </is>
      </c>
      <c r="H3" s="2" t="inlineStr">
        <is>
          <t>#77 #98 #32</t>
        </is>
      </c>
      <c r="I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4" customWidth="1" min="4" max="4"/>
    <col width="64" customWidth="1" min="5" max="5"/>
  </cols>
  <sheetData>
    <row r="1">
      <c r="A1" s="1" t="inlineStr">
        <is>
          <t>Event type</t>
        </is>
      </c>
      <c r="B1" s="1" t="inlineStr">
        <is>
          <t>Logged</t>
        </is>
      </c>
      <c r="C1" s="1" t="inlineStr">
        <is>
          <t>Flagged for review</t>
        </is>
      </c>
      <c r="D1" s="1" t="inlineStr">
        <is>
          <t>Share flagged</t>
        </is>
      </c>
      <c r="E1" s="1" t="inlineStr">
        <is>
          <t>What limits it</t>
        </is>
      </c>
    </row>
    <row r="2">
      <c r="A2" s="2" t="inlineStr">
        <is>
          <t>CHANCE</t>
        </is>
      </c>
      <c r="B2" s="2" t="n">
        <v>1</v>
      </c>
      <c r="C2" s="2" t="n">
        <v>0</v>
      </c>
      <c r="D2" s="5">
        <f>IFERROR(C2/B2,"")</f>
        <v/>
      </c>
      <c r="E2" s="2" t="inlineStr"/>
    </row>
    <row r="3">
      <c r="A3" s="2" t="inlineStr">
        <is>
          <t>ENTRY</t>
        </is>
      </c>
      <c r="B3" s="2" t="n">
        <v>1</v>
      </c>
      <c r="C3" s="2" t="n">
        <v>0</v>
      </c>
      <c r="D3" s="5">
        <f>IFERROR(C3/B3,"")</f>
        <v/>
      </c>
      <c r="E3" s="2" t="inlineStr"/>
    </row>
    <row r="4">
      <c r="A4" s="2" t="inlineStr">
        <is>
          <t>FO</t>
        </is>
      </c>
      <c r="B4" s="2" t="n">
        <v>1</v>
      </c>
      <c r="C4" s="2" t="n">
        <v>0</v>
      </c>
      <c r="D4" s="5">
        <f>IFERROR(C4/B4,"")</f>
        <v/>
      </c>
      <c r="E4" s="2" t="inlineStr">
        <is>
          <t>The losing player is often obscured at the dot.</t>
        </is>
      </c>
    </row>
    <row r="5">
      <c r="A5" s="2" t="inlineStr">
        <is>
          <t>GIVE</t>
        </is>
      </c>
      <c r="B5" s="2" t="n">
        <v>1</v>
      </c>
      <c r="C5" s="2" t="n">
        <v>0</v>
      </c>
      <c r="D5" s="5">
        <f>IFERROR(C5/B5,"")</f>
        <v/>
      </c>
      <c r="E5" s="2" t="inlineStr"/>
    </row>
    <row r="6">
      <c r="A6" s="2" t="inlineStr">
        <is>
          <t>GOAL</t>
        </is>
      </c>
      <c r="B6" s="2" t="n">
        <v>2</v>
      </c>
      <c r="C6" s="2" t="n">
        <v>0</v>
      </c>
      <c r="D6" s="5">
        <f>IFERROR(C6/B6,"")</f>
        <v/>
      </c>
      <c r="E6" s="2" t="inlineStr"/>
    </row>
    <row r="7">
      <c r="A7" s="2" t="inlineStr">
        <is>
          <t>MISS</t>
        </is>
      </c>
      <c r="B7" s="2" t="n">
        <v>1</v>
      </c>
      <c r="C7" s="2" t="n">
        <v>0</v>
      </c>
      <c r="D7" s="5">
        <f>IFERROR(C7/B7,"")</f>
        <v/>
      </c>
      <c r="E7" s="2" t="inlineStr"/>
    </row>
    <row r="8">
      <c r="A8" s="2" t="inlineStr">
        <is>
          <t>ONICE</t>
        </is>
      </c>
      <c r="B8" s="2" t="n">
        <v>3</v>
      </c>
      <c r="C8" s="2" t="n">
        <v>0</v>
      </c>
      <c r="D8" s="5">
        <f>IFERROR(C8/B8,"")</f>
        <v/>
      </c>
      <c r="E8" s="2" t="inlineStr">
        <is>
          <t>Far-side jersey numbers at the bench are small on this camera.</t>
        </is>
      </c>
    </row>
    <row r="9">
      <c r="A9" s="2" t="inlineStr">
        <is>
          <t>PASS</t>
        </is>
      </c>
      <c r="B9" s="2" t="n">
        <v>2</v>
      </c>
      <c r="C9" s="2" t="n">
        <v>1</v>
      </c>
      <c r="D9" s="5">
        <f>IFERROR(C9/B9,"")</f>
        <v/>
      </c>
      <c r="E9" s="2" t="inlineStr">
        <is>
          <t>Rapid passing sequences are the hardest events to attribute.</t>
        </is>
      </c>
    </row>
    <row r="10">
      <c r="A10" s="2" t="inlineStr">
        <is>
          <t>SOG</t>
        </is>
      </c>
      <c r="B10" s="2" t="n">
        <v>2</v>
      </c>
      <c r="C10" s="2" t="n">
        <v>0</v>
      </c>
      <c r="D10" s="5">
        <f>IFERROR(C10/B10,"")</f>
        <v/>
      </c>
      <c r="E10" s="2" t="inlineStr"/>
    </row>
    <row r="11">
      <c r="A11" s="2" t="inlineStr">
        <is>
          <t>TAKE</t>
        </is>
      </c>
      <c r="B11" s="2" t="n">
        <v>1</v>
      </c>
      <c r="C11" s="2" t="n">
        <v>0</v>
      </c>
      <c r="D11" s="5">
        <f>IFERROR(C11/B11,"")</f>
        <v/>
      </c>
      <c r="E11" s="2" t="inlineStr"/>
    </row>
    <row r="13">
      <c r="A13" s="4" t="inlineStr">
        <is>
          <t>A flagged event was logged but could not be read with confidence. Flagged events are never guessed; filter the Event log on the Flagged column to review each one against the video.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7" customWidth="1" min="4" max="4"/>
    <col width="11" customWidth="1" min="5" max="5"/>
    <col width="14" customWidth="1" min="6" max="6"/>
    <col width="7" customWidth="1" min="7" max="7"/>
    <col width="34" customWidth="1" min="8" max="8"/>
    <col width="9" customWidth="1" min="9" max="9"/>
    <col width="34" customWidth="1" min="10" max="10"/>
    <col width="18" customWidth="1" min="11" max="11"/>
  </cols>
  <sheetData>
    <row r="1">
      <c r="A1" s="1" t="inlineStr">
        <is>
          <t>Event</t>
        </is>
      </c>
      <c r="B1" s="1" t="inlineStr">
        <is>
          <t>Video time</t>
        </is>
      </c>
      <c r="C1" s="1" t="inlineStr">
        <is>
          <t>Clock</t>
        </is>
      </c>
      <c r="D1" s="1" t="inlineStr">
        <is>
          <t>Period</t>
        </is>
      </c>
      <c r="E1" s="1" t="inlineStr">
        <is>
          <t>Event type</t>
        </is>
      </c>
      <c r="F1" s="1" t="inlineStr">
        <is>
          <t>Detail</t>
        </is>
      </c>
      <c r="G1" s="1" t="inlineStr">
        <is>
          <t>Team</t>
        </is>
      </c>
      <c r="H1" s="1" t="inlineStr">
        <is>
          <t>Players</t>
        </is>
      </c>
      <c r="I1" s="1" t="inlineStr">
        <is>
          <t>Flagged</t>
        </is>
      </c>
      <c r="J1" s="1" t="inlineStr">
        <is>
          <t>Note</t>
        </is>
      </c>
      <c r="K1" s="1" t="inlineStr">
        <is>
          <t>Clip</t>
        </is>
      </c>
    </row>
    <row r="2">
      <c r="A2" s="2" t="n">
        <v>1</v>
      </c>
      <c r="B2" s="2" t="inlineStr">
        <is>
          <t>0:00.0</t>
        </is>
      </c>
      <c r="C2" s="2" t="inlineStr">
        <is>
          <t>15:00</t>
        </is>
      </c>
      <c r="D2" s="2" t="inlineStr">
        <is>
          <t>1</t>
        </is>
      </c>
      <c r="E2" s="2" t="inlineStr">
        <is>
          <t>ONICE</t>
        </is>
      </c>
      <c r="F2" s="2" t="inlineStr"/>
      <c r="G2" s="2" t="inlineStr">
        <is>
          <t>B/Y</t>
        </is>
      </c>
      <c r="H2" s="2" t="inlineStr">
        <is>
          <t>#11 #22 #33</t>
        </is>
      </c>
      <c r="I2" s="2" t="inlineStr"/>
      <c r="J2" s="2" t="inlineStr"/>
      <c r="K2" s="2" t="inlineStr"/>
    </row>
    <row r="3">
      <c r="A3" s="2" t="n">
        <v>2</v>
      </c>
      <c r="B3" s="2" t="inlineStr">
        <is>
          <t>0:00.0</t>
        </is>
      </c>
      <c r="C3" s="2" t="inlineStr">
        <is>
          <t>15:00</t>
        </is>
      </c>
      <c r="D3" s="2" t="inlineStr">
        <is>
          <t>1</t>
        </is>
      </c>
      <c r="E3" s="2" t="inlineStr">
        <is>
          <t>ONICE</t>
        </is>
      </c>
      <c r="F3" s="2" t="inlineStr"/>
      <c r="G3" s="2" t="inlineStr">
        <is>
          <t>GRN</t>
        </is>
      </c>
      <c r="H3" s="2" t="inlineStr">
        <is>
          <t>#77 #98 #32</t>
        </is>
      </c>
      <c r="I3" s="2" t="inlineStr"/>
      <c r="J3" s="2" t="inlineStr"/>
      <c r="K3" s="2" t="inlineStr"/>
    </row>
    <row r="4">
      <c r="A4" s="2" t="n">
        <v>3</v>
      </c>
      <c r="B4" s="2" t="inlineStr">
        <is>
          <t>0:15.0</t>
        </is>
      </c>
      <c r="C4" s="2" t="inlineStr">
        <is>
          <t>14:45</t>
        </is>
      </c>
      <c r="D4" s="2" t="inlineStr">
        <is>
          <t>1</t>
        </is>
      </c>
      <c r="E4" s="2" t="inlineStr">
        <is>
          <t>SOG</t>
        </is>
      </c>
      <c r="F4" s="2" t="inlineStr"/>
      <c r="G4" s="2" t="inlineStr">
        <is>
          <t>B/Y</t>
        </is>
      </c>
      <c r="H4" s="2" t="inlineStr">
        <is>
          <t>#11</t>
        </is>
      </c>
      <c r="I4" s="2" t="inlineStr"/>
      <c r="J4" s="2" t="inlineStr"/>
      <c r="K4" s="2" t="inlineStr"/>
    </row>
    <row r="5">
      <c r="A5" s="2" t="n">
        <v>4</v>
      </c>
      <c r="B5" s="2" t="inlineStr">
        <is>
          <t>0:22.0</t>
        </is>
      </c>
      <c r="C5" s="2" t="inlineStr">
        <is>
          <t>14:38</t>
        </is>
      </c>
      <c r="D5" s="2" t="inlineStr">
        <is>
          <t>1</t>
        </is>
      </c>
      <c r="E5" s="2" t="inlineStr">
        <is>
          <t>MISS</t>
        </is>
      </c>
      <c r="F5" s="2" t="inlineStr"/>
      <c r="G5" s="2" t="inlineStr">
        <is>
          <t>B/Y</t>
        </is>
      </c>
      <c r="H5" s="2" t="inlineStr">
        <is>
          <t>#22</t>
        </is>
      </c>
      <c r="I5" s="2" t="inlineStr"/>
      <c r="J5" s="2" t="inlineStr"/>
      <c r="K5" s="2" t="inlineStr"/>
    </row>
    <row r="6">
      <c r="A6" s="2" t="n">
        <v>5</v>
      </c>
      <c r="B6" s="2" t="inlineStr">
        <is>
          <t>0:30.0</t>
        </is>
      </c>
      <c r="C6" s="2" t="inlineStr">
        <is>
          <t>14:30</t>
        </is>
      </c>
      <c r="D6" s="2" t="inlineStr">
        <is>
          <t>1</t>
        </is>
      </c>
      <c r="E6" s="2" t="inlineStr">
        <is>
          <t>ENTRY</t>
        </is>
      </c>
      <c r="F6" s="2" t="inlineStr">
        <is>
          <t>controlled</t>
        </is>
      </c>
      <c r="G6" s="2" t="inlineStr">
        <is>
          <t>B/Y</t>
        </is>
      </c>
      <c r="H6" s="2" t="inlineStr">
        <is>
          <t>#11</t>
        </is>
      </c>
      <c r="I6" s="2" t="inlineStr"/>
      <c r="J6" s="2" t="inlineStr"/>
      <c r="K6" s="2" t="inlineStr"/>
    </row>
    <row r="7">
      <c r="A7" s="2" t="n">
        <v>6</v>
      </c>
      <c r="B7" s="2" t="inlineStr">
        <is>
          <t>0:35.0</t>
        </is>
      </c>
      <c r="C7" s="2" t="inlineStr">
        <is>
          <t>14:25</t>
        </is>
      </c>
      <c r="D7" s="2" t="inlineStr">
        <is>
          <t>1</t>
        </is>
      </c>
      <c r="E7" s="2" t="inlineStr">
        <is>
          <t>PASS</t>
        </is>
      </c>
      <c r="F7" s="2" t="inlineStr">
        <is>
          <t>completed</t>
        </is>
      </c>
      <c r="G7" s="2" t="inlineStr">
        <is>
          <t>B/Y</t>
        </is>
      </c>
      <c r="H7" s="2" t="inlineStr">
        <is>
          <t>#11</t>
        </is>
      </c>
      <c r="I7" s="2" t="inlineStr"/>
      <c r="J7" s="2" t="inlineStr"/>
      <c r="K7" s="2" t="inlineStr"/>
    </row>
    <row r="8">
      <c r="A8" s="2" t="n">
        <v>7</v>
      </c>
      <c r="B8" s="2" t="inlineStr">
        <is>
          <t>0:38.0</t>
        </is>
      </c>
      <c r="C8" s="2" t="inlineStr">
        <is>
          <t>14:22</t>
        </is>
      </c>
      <c r="D8" s="2" t="inlineStr">
        <is>
          <t>1</t>
        </is>
      </c>
      <c r="E8" s="2" t="inlineStr">
        <is>
          <t>PASS</t>
        </is>
      </c>
      <c r="F8" s="2" t="inlineStr"/>
      <c r="G8" s="2" t="inlineStr">
        <is>
          <t>B/Y</t>
        </is>
      </c>
      <c r="H8" s="2" t="inlineStr">
        <is>
          <t>#22</t>
        </is>
      </c>
      <c r="I8" s="2" t="inlineStr">
        <is>
          <t>yes</t>
        </is>
      </c>
      <c r="J8" s="2" t="inlineStr">
        <is>
          <t>could not see who received it</t>
        </is>
      </c>
      <c r="K8" s="2" t="inlineStr"/>
    </row>
    <row r="9">
      <c r="A9" s="2" t="n">
        <v>8</v>
      </c>
      <c r="B9" s="2" t="inlineStr">
        <is>
          <t>0:40.0</t>
        </is>
      </c>
      <c r="C9" s="2" t="inlineStr">
        <is>
          <t>14:20</t>
        </is>
      </c>
      <c r="D9" s="2" t="inlineStr">
        <is>
          <t>1</t>
        </is>
      </c>
      <c r="E9" s="2" t="inlineStr">
        <is>
          <t>CHANCE</t>
        </is>
      </c>
      <c r="F9" s="2" t="inlineStr">
        <is>
          <t>high danger</t>
        </is>
      </c>
      <c r="G9" s="2" t="inlineStr">
        <is>
          <t>B/Y</t>
        </is>
      </c>
      <c r="H9" s="2" t="inlineStr">
        <is>
          <t>#22</t>
        </is>
      </c>
      <c r="I9" s="2" t="inlineStr"/>
      <c r="J9" s="2" t="inlineStr"/>
      <c r="K9" s="2" t="inlineStr"/>
    </row>
    <row r="10">
      <c r="A10" s="2" t="n">
        <v>9</v>
      </c>
      <c r="B10" s="2" t="inlineStr">
        <is>
          <t>0:45.0</t>
        </is>
      </c>
      <c r="C10" s="2" t="inlineStr">
        <is>
          <t>14:15</t>
        </is>
      </c>
      <c r="D10" s="2" t="inlineStr">
        <is>
          <t>1</t>
        </is>
      </c>
      <c r="E10" s="2" t="inlineStr">
        <is>
          <t>GOAL</t>
        </is>
      </c>
      <c r="F10" s="2" t="inlineStr"/>
      <c r="G10" s="2" t="inlineStr">
        <is>
          <t>B/Y</t>
        </is>
      </c>
      <c r="H10" s="2" t="inlineStr">
        <is>
          <t>#22 (scorer) #11 (assist1)</t>
        </is>
      </c>
      <c r="I10" s="2" t="inlineStr"/>
      <c r="J10" s="2" t="inlineStr"/>
      <c r="K10" s="2" t="inlineStr"/>
    </row>
    <row r="11">
      <c r="A11" s="2" t="n">
        <v>10</v>
      </c>
      <c r="B11" s="2" t="inlineStr">
        <is>
          <t>0:50.0</t>
        </is>
      </c>
      <c r="C11" s="2" t="inlineStr">
        <is>
          <t>14:10</t>
        </is>
      </c>
      <c r="D11" s="2" t="inlineStr">
        <is>
          <t>1</t>
        </is>
      </c>
      <c r="E11" s="2" t="inlineStr">
        <is>
          <t>FO</t>
        </is>
      </c>
      <c r="F11" s="2" t="inlineStr"/>
      <c r="G11" s="2" t="inlineStr">
        <is>
          <t>GRN</t>
        </is>
      </c>
      <c r="H11" s="2" t="inlineStr">
        <is>
          <t>#77 (won) #33 (lost)</t>
        </is>
      </c>
      <c r="I11" s="2" t="inlineStr"/>
      <c r="J11" s="2" t="inlineStr"/>
      <c r="K11" s="2" t="inlineStr"/>
    </row>
    <row r="12">
      <c r="A12" s="2" t="n">
        <v>11</v>
      </c>
      <c r="B12" s="2" t="inlineStr">
        <is>
          <t>1:00.0</t>
        </is>
      </c>
      <c r="C12" s="2" t="inlineStr">
        <is>
          <t>14:00</t>
        </is>
      </c>
      <c r="D12" s="2" t="inlineStr">
        <is>
          <t>1</t>
        </is>
      </c>
      <c r="E12" s="2" t="inlineStr">
        <is>
          <t>ONICE</t>
        </is>
      </c>
      <c r="F12" s="2" t="inlineStr"/>
      <c r="G12" s="2" t="inlineStr">
        <is>
          <t>B/Y</t>
        </is>
      </c>
      <c r="H12" s="2" t="inlineStr">
        <is>
          <t>#44 #55 #66</t>
        </is>
      </c>
      <c r="I12" s="2" t="inlineStr"/>
      <c r="J12" s="2" t="inlineStr"/>
      <c r="K12" s="2" t="inlineStr"/>
    </row>
    <row r="13">
      <c r="A13" s="2" t="n">
        <v>12</v>
      </c>
      <c r="B13" s="2" t="inlineStr">
        <is>
          <t>1:10.0</t>
        </is>
      </c>
      <c r="C13" s="2" t="inlineStr">
        <is>
          <t>13:50</t>
        </is>
      </c>
      <c r="D13" s="2" t="inlineStr">
        <is>
          <t>1</t>
        </is>
      </c>
      <c r="E13" s="2" t="inlineStr">
        <is>
          <t>SOG</t>
        </is>
      </c>
      <c r="F13" s="2" t="inlineStr"/>
      <c r="G13" s="2" t="inlineStr">
        <is>
          <t>GRN</t>
        </is>
      </c>
      <c r="H13" s="2" t="inlineStr">
        <is>
          <t>#98</t>
        </is>
      </c>
      <c r="I13" s="2" t="inlineStr"/>
      <c r="J13" s="2" t="inlineStr"/>
      <c r="K13" s="2" t="inlineStr"/>
    </row>
    <row r="14">
      <c r="A14" s="2" t="n">
        <v>13</v>
      </c>
      <c r="B14" s="2" t="inlineStr">
        <is>
          <t>1:20.0</t>
        </is>
      </c>
      <c r="C14" s="2" t="inlineStr">
        <is>
          <t>13:40</t>
        </is>
      </c>
      <c r="D14" s="2" t="inlineStr">
        <is>
          <t>1</t>
        </is>
      </c>
      <c r="E14" s="2" t="inlineStr">
        <is>
          <t>TAKE</t>
        </is>
      </c>
      <c r="F14" s="2" t="inlineStr"/>
      <c r="G14" s="2" t="inlineStr">
        <is>
          <t>B/Y</t>
        </is>
      </c>
      <c r="H14" s="2" t="inlineStr">
        <is>
          <t>#44</t>
        </is>
      </c>
      <c r="I14" s="2" t="inlineStr"/>
      <c r="J14" s="2" t="inlineStr"/>
      <c r="K14" s="2" t="inlineStr"/>
    </row>
    <row r="15">
      <c r="A15" s="2" t="n">
        <v>14</v>
      </c>
      <c r="B15" s="2" t="inlineStr">
        <is>
          <t>1:30.0</t>
        </is>
      </c>
      <c r="C15" s="2" t="inlineStr">
        <is>
          <t>13:30</t>
        </is>
      </c>
      <c r="D15" s="2" t="inlineStr">
        <is>
          <t>1</t>
        </is>
      </c>
      <c r="E15" s="2" t="inlineStr">
        <is>
          <t>GOAL</t>
        </is>
      </c>
      <c r="F15" s="2" t="inlineStr"/>
      <c r="G15" s="2" t="inlineStr">
        <is>
          <t>GRN</t>
        </is>
      </c>
      <c r="H15" s="2" t="inlineStr">
        <is>
          <t>#98 (scorer)</t>
        </is>
      </c>
      <c r="I15" s="2" t="inlineStr"/>
      <c r="J15" s="2" t="inlineStr"/>
      <c r="K15" s="2" t="inlineStr"/>
    </row>
    <row r="16">
      <c r="A16" s="2" t="n">
        <v>15</v>
      </c>
      <c r="B16" s="2" t="inlineStr">
        <is>
          <t>1:40.0</t>
        </is>
      </c>
      <c r="C16" s="2" t="inlineStr">
        <is>
          <t>13:20</t>
        </is>
      </c>
      <c r="D16" s="2" t="inlineStr">
        <is>
          <t>1</t>
        </is>
      </c>
      <c r="E16" s="2" t="inlineStr">
        <is>
          <t>GIVE</t>
        </is>
      </c>
      <c r="F16" s="2" t="inlineStr"/>
      <c r="G16" s="2" t="inlineStr">
        <is>
          <t>B/Y</t>
        </is>
      </c>
      <c r="H16" s="2" t="inlineStr">
        <is>
          <t>#55</t>
        </is>
      </c>
      <c r="I16" s="2" t="inlineStr"/>
      <c r="J16" s="2" t="inlineStr"/>
      <c r="K16" s="2" t="inlineStr"/>
    </row>
  </sheetData>
  <autoFilter ref="A1:K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7" customWidth="1" min="4" max="4"/>
    <col width="7" customWidth="1" min="5" max="5"/>
    <col width="9" customWidth="1" min="6" max="6"/>
    <col width="12" customWidth="1" min="7" max="7"/>
    <col width="9" customWidth="1" min="8" max="8"/>
    <col width="40" customWidth="1" min="9" max="9"/>
  </cols>
  <sheetData>
    <row r="1">
      <c r="A1" s="1" t="inlineStr">
        <is>
          <t>Event</t>
        </is>
      </c>
      <c r="B1" s="1" t="inlineStr">
        <is>
          <t>Video time</t>
        </is>
      </c>
      <c r="C1" s="1" t="inlineStr">
        <is>
          <t>Clock</t>
        </is>
      </c>
      <c r="D1" s="1" t="inlineStr">
        <is>
          <t>Period</t>
        </is>
      </c>
      <c r="E1" s="1" t="inlineStr">
        <is>
          <t>Team</t>
        </is>
      </c>
      <c r="F1" s="1" t="inlineStr">
        <is>
          <t>Player</t>
        </is>
      </c>
      <c r="G1" s="1" t="inlineStr">
        <is>
          <t>Stat</t>
        </is>
      </c>
      <c r="H1" s="1" t="inlineStr">
        <is>
          <t>Flagged</t>
        </is>
      </c>
      <c r="I1" s="1" t="inlineStr">
        <is>
          <t>Note</t>
        </is>
      </c>
    </row>
    <row r="2">
      <c r="A2" s="2" t="n">
        <v>3</v>
      </c>
      <c r="B2" s="2" t="inlineStr">
        <is>
          <t>0:15.0</t>
        </is>
      </c>
      <c r="C2" s="2" t="inlineStr">
        <is>
          <t>14:45</t>
        </is>
      </c>
      <c r="D2" s="2" t="inlineStr">
        <is>
          <t>1</t>
        </is>
      </c>
      <c r="E2" s="2" t="inlineStr">
        <is>
          <t>B/Y</t>
        </is>
      </c>
      <c r="F2" s="2" t="inlineStr">
        <is>
          <t>#11</t>
        </is>
      </c>
      <c r="G2" s="2" t="inlineStr">
        <is>
          <t>SOG</t>
        </is>
      </c>
      <c r="H2" s="2" t="inlineStr"/>
      <c r="I2" s="2" t="inlineStr"/>
    </row>
    <row r="3">
      <c r="A3" s="2" t="n">
        <v>4</v>
      </c>
      <c r="B3" s="2" t="inlineStr">
        <is>
          <t>0:22.0</t>
        </is>
      </c>
      <c r="C3" s="2" t="inlineStr">
        <is>
          <t>14:38</t>
        </is>
      </c>
      <c r="D3" s="2" t="inlineStr">
        <is>
          <t>1</t>
        </is>
      </c>
      <c r="E3" s="2" t="inlineStr">
        <is>
          <t>B/Y</t>
        </is>
      </c>
      <c r="F3" s="2" t="inlineStr">
        <is>
          <t>#22</t>
        </is>
      </c>
      <c r="G3" s="2" t="inlineStr">
        <is>
          <t>MISS</t>
        </is>
      </c>
      <c r="H3" s="2" t="inlineStr"/>
      <c r="I3" s="2" t="inlineStr"/>
    </row>
    <row r="4">
      <c r="A4" s="2" t="n">
        <v>5</v>
      </c>
      <c r="B4" s="2" t="inlineStr">
        <is>
          <t>0:30.0</t>
        </is>
      </c>
      <c r="C4" s="2" t="inlineStr">
        <is>
          <t>14:30</t>
        </is>
      </c>
      <c r="D4" s="2" t="inlineStr">
        <is>
          <t>1</t>
        </is>
      </c>
      <c r="E4" s="2" t="inlineStr">
        <is>
          <t>B/Y</t>
        </is>
      </c>
      <c r="F4" s="2" t="inlineStr">
        <is>
          <t>#11</t>
        </is>
      </c>
      <c r="G4" s="2" t="inlineStr">
        <is>
          <t>ENTRY_C</t>
        </is>
      </c>
      <c r="H4" s="2" t="inlineStr"/>
      <c r="I4" s="2" t="inlineStr"/>
    </row>
    <row r="5">
      <c r="A5" s="2" t="n">
        <v>6</v>
      </c>
      <c r="B5" s="2" t="inlineStr">
        <is>
          <t>0:35.0</t>
        </is>
      </c>
      <c r="C5" s="2" t="inlineStr">
        <is>
          <t>14:25</t>
        </is>
      </c>
      <c r="D5" s="2" t="inlineStr">
        <is>
          <t>1</t>
        </is>
      </c>
      <c r="E5" s="2" t="inlineStr">
        <is>
          <t>B/Y</t>
        </is>
      </c>
      <c r="F5" s="2" t="inlineStr">
        <is>
          <t>#11</t>
        </is>
      </c>
      <c r="G5" s="2" t="inlineStr">
        <is>
          <t>PASS</t>
        </is>
      </c>
      <c r="H5" s="2" t="inlineStr"/>
      <c r="I5" s="2" t="inlineStr"/>
    </row>
    <row r="6">
      <c r="A6" s="2" t="n">
        <v>6</v>
      </c>
      <c r="B6" s="2" t="inlineStr">
        <is>
          <t>0:35.0</t>
        </is>
      </c>
      <c r="C6" s="2" t="inlineStr">
        <is>
          <t>14:25</t>
        </is>
      </c>
      <c r="D6" s="2" t="inlineStr">
        <is>
          <t>1</t>
        </is>
      </c>
      <c r="E6" s="2" t="inlineStr">
        <is>
          <t>B/Y</t>
        </is>
      </c>
      <c r="F6" s="2" t="inlineStr">
        <is>
          <t>#11</t>
        </is>
      </c>
      <c r="G6" s="2" t="inlineStr">
        <is>
          <t>PASS_C</t>
        </is>
      </c>
      <c r="H6" s="2" t="inlineStr"/>
      <c r="I6" s="2" t="inlineStr"/>
    </row>
    <row r="7">
      <c r="A7" s="2" t="n">
        <v>7</v>
      </c>
      <c r="B7" s="2" t="inlineStr">
        <is>
          <t>0:38.0</t>
        </is>
      </c>
      <c r="C7" s="2" t="inlineStr">
        <is>
          <t>14:22</t>
        </is>
      </c>
      <c r="D7" s="2" t="inlineStr">
        <is>
          <t>1</t>
        </is>
      </c>
      <c r="E7" s="2" t="inlineStr">
        <is>
          <t>B/Y</t>
        </is>
      </c>
      <c r="F7" s="2" t="inlineStr">
        <is>
          <t>#22</t>
        </is>
      </c>
      <c r="G7" s="2" t="inlineStr">
        <is>
          <t>PASS</t>
        </is>
      </c>
      <c r="H7" s="2" t="inlineStr">
        <is>
          <t>yes</t>
        </is>
      </c>
      <c r="I7" s="2" t="inlineStr">
        <is>
          <t>could not see who received it</t>
        </is>
      </c>
    </row>
    <row r="8">
      <c r="A8" s="2" t="n">
        <v>8</v>
      </c>
      <c r="B8" s="2" t="inlineStr">
        <is>
          <t>0:40.0</t>
        </is>
      </c>
      <c r="C8" s="2" t="inlineStr">
        <is>
          <t>14:20</t>
        </is>
      </c>
      <c r="D8" s="2" t="inlineStr">
        <is>
          <t>1</t>
        </is>
      </c>
      <c r="E8" s="2" t="inlineStr">
        <is>
          <t>B/Y</t>
        </is>
      </c>
      <c r="F8" s="2" t="inlineStr">
        <is>
          <t>#22</t>
        </is>
      </c>
      <c r="G8" s="2" t="inlineStr">
        <is>
          <t>CHANCE</t>
        </is>
      </c>
      <c r="H8" s="2" t="inlineStr"/>
      <c r="I8" s="2" t="inlineStr"/>
    </row>
    <row r="9">
      <c r="A9" s="2" t="n">
        <v>8</v>
      </c>
      <c r="B9" s="2" t="inlineStr">
        <is>
          <t>0:40.0</t>
        </is>
      </c>
      <c r="C9" s="2" t="inlineStr">
        <is>
          <t>14:20</t>
        </is>
      </c>
      <c r="D9" s="2" t="inlineStr">
        <is>
          <t>1</t>
        </is>
      </c>
      <c r="E9" s="2" t="inlineStr">
        <is>
          <t>B/Y</t>
        </is>
      </c>
      <c r="F9" s="2" t="inlineStr">
        <is>
          <t>#22</t>
        </is>
      </c>
      <c r="G9" s="2" t="inlineStr">
        <is>
          <t>CHANCE_HD</t>
        </is>
      </c>
      <c r="H9" s="2" t="inlineStr"/>
      <c r="I9" s="2" t="inlineStr"/>
    </row>
    <row r="10">
      <c r="A10" s="2" t="n">
        <v>9</v>
      </c>
      <c r="B10" s="2" t="inlineStr">
        <is>
          <t>0:45.0</t>
        </is>
      </c>
      <c r="C10" s="2" t="inlineStr">
        <is>
          <t>14:15</t>
        </is>
      </c>
      <c r="D10" s="2" t="inlineStr">
        <is>
          <t>1</t>
        </is>
      </c>
      <c r="E10" s="2" t="inlineStr">
        <is>
          <t>B/Y</t>
        </is>
      </c>
      <c r="F10" s="2" t="inlineStr">
        <is>
          <t>#22</t>
        </is>
      </c>
      <c r="G10" s="2" t="inlineStr">
        <is>
          <t>GOAL</t>
        </is>
      </c>
      <c r="H10" s="2" t="inlineStr"/>
      <c r="I10" s="2" t="inlineStr"/>
    </row>
    <row r="11">
      <c r="A11" s="2" t="n">
        <v>9</v>
      </c>
      <c r="B11" s="2" t="inlineStr">
        <is>
          <t>0:45.0</t>
        </is>
      </c>
      <c r="C11" s="2" t="inlineStr">
        <is>
          <t>14:15</t>
        </is>
      </c>
      <c r="D11" s="2" t="inlineStr">
        <is>
          <t>1</t>
        </is>
      </c>
      <c r="E11" s="2" t="inlineStr">
        <is>
          <t>B/Y</t>
        </is>
      </c>
      <c r="F11" s="2" t="inlineStr">
        <is>
          <t>#22</t>
        </is>
      </c>
      <c r="G11" s="2" t="inlineStr">
        <is>
          <t>SOG</t>
        </is>
      </c>
      <c r="H11" s="2" t="inlineStr"/>
      <c r="I11" s="2" t="inlineStr"/>
    </row>
    <row r="12">
      <c r="A12" s="2" t="n">
        <v>9</v>
      </c>
      <c r="B12" s="2" t="inlineStr">
        <is>
          <t>0:45.0</t>
        </is>
      </c>
      <c r="C12" s="2" t="inlineStr">
        <is>
          <t>14:15</t>
        </is>
      </c>
      <c r="D12" s="2" t="inlineStr">
        <is>
          <t>1</t>
        </is>
      </c>
      <c r="E12" s="2" t="inlineStr">
        <is>
          <t>B/Y</t>
        </is>
      </c>
      <c r="F12" s="2" t="inlineStr">
        <is>
          <t>#11</t>
        </is>
      </c>
      <c r="G12" s="2" t="inlineStr">
        <is>
          <t>ASSIST</t>
        </is>
      </c>
      <c r="H12" s="2" t="inlineStr"/>
      <c r="I12" s="2" t="inlineStr"/>
    </row>
    <row r="13">
      <c r="A13" s="2" t="n">
        <v>10</v>
      </c>
      <c r="B13" s="2" t="inlineStr">
        <is>
          <t>0:50.0</t>
        </is>
      </c>
      <c r="C13" s="2" t="inlineStr">
        <is>
          <t>14:10</t>
        </is>
      </c>
      <c r="D13" s="2" t="inlineStr">
        <is>
          <t>1</t>
        </is>
      </c>
      <c r="E13" s="2" t="inlineStr">
        <is>
          <t>GRN</t>
        </is>
      </c>
      <c r="F13" s="2" t="inlineStr">
        <is>
          <t>#77</t>
        </is>
      </c>
      <c r="G13" s="2" t="inlineStr">
        <is>
          <t>FO_W</t>
        </is>
      </c>
      <c r="H13" s="2" t="inlineStr"/>
      <c r="I13" s="2" t="inlineStr"/>
    </row>
    <row r="14">
      <c r="A14" s="2" t="n">
        <v>10</v>
      </c>
      <c r="B14" s="2" t="inlineStr">
        <is>
          <t>0:50.0</t>
        </is>
      </c>
      <c r="C14" s="2" t="inlineStr">
        <is>
          <t>14:10</t>
        </is>
      </c>
      <c r="D14" s="2" t="inlineStr">
        <is>
          <t>1</t>
        </is>
      </c>
      <c r="E14" s="2" t="inlineStr">
        <is>
          <t>B/Y</t>
        </is>
      </c>
      <c r="F14" s="2" t="inlineStr">
        <is>
          <t>#33</t>
        </is>
      </c>
      <c r="G14" s="2" t="inlineStr">
        <is>
          <t>FO_L</t>
        </is>
      </c>
      <c r="H14" s="2" t="inlineStr"/>
      <c r="I14" s="2" t="inlineStr"/>
    </row>
    <row r="15">
      <c r="A15" s="2" t="n">
        <v>12</v>
      </c>
      <c r="B15" s="2" t="inlineStr">
        <is>
          <t>1:10.0</t>
        </is>
      </c>
      <c r="C15" s="2" t="inlineStr">
        <is>
          <t>13:50</t>
        </is>
      </c>
      <c r="D15" s="2" t="inlineStr">
        <is>
          <t>1</t>
        </is>
      </c>
      <c r="E15" s="2" t="inlineStr">
        <is>
          <t>GRN</t>
        </is>
      </c>
      <c r="F15" s="2" t="inlineStr">
        <is>
          <t>#98</t>
        </is>
      </c>
      <c r="G15" s="2" t="inlineStr">
        <is>
          <t>SOG</t>
        </is>
      </c>
      <c r="H15" s="2" t="inlineStr"/>
      <c r="I15" s="2" t="inlineStr"/>
    </row>
    <row r="16">
      <c r="A16" s="2" t="n">
        <v>13</v>
      </c>
      <c r="B16" s="2" t="inlineStr">
        <is>
          <t>1:20.0</t>
        </is>
      </c>
      <c r="C16" s="2" t="inlineStr">
        <is>
          <t>13:40</t>
        </is>
      </c>
      <c r="D16" s="2" t="inlineStr">
        <is>
          <t>1</t>
        </is>
      </c>
      <c r="E16" s="2" t="inlineStr">
        <is>
          <t>B/Y</t>
        </is>
      </c>
      <c r="F16" s="2" t="inlineStr">
        <is>
          <t>#44</t>
        </is>
      </c>
      <c r="G16" s="2" t="inlineStr">
        <is>
          <t>TAKE</t>
        </is>
      </c>
      <c r="H16" s="2" t="inlineStr"/>
      <c r="I16" s="2" t="inlineStr"/>
    </row>
    <row r="17">
      <c r="A17" s="2" t="n">
        <v>14</v>
      </c>
      <c r="B17" s="2" t="inlineStr">
        <is>
          <t>1:30.0</t>
        </is>
      </c>
      <c r="C17" s="2" t="inlineStr">
        <is>
          <t>13:30</t>
        </is>
      </c>
      <c r="D17" s="2" t="inlineStr">
        <is>
          <t>1</t>
        </is>
      </c>
      <c r="E17" s="2" t="inlineStr">
        <is>
          <t>GRN</t>
        </is>
      </c>
      <c r="F17" s="2" t="inlineStr">
        <is>
          <t>#98</t>
        </is>
      </c>
      <c r="G17" s="2" t="inlineStr">
        <is>
          <t>GOAL</t>
        </is>
      </c>
      <c r="H17" s="2" t="inlineStr"/>
      <c r="I17" s="2" t="inlineStr"/>
    </row>
    <row r="18">
      <c r="A18" s="2" t="n">
        <v>14</v>
      </c>
      <c r="B18" s="2" t="inlineStr">
        <is>
          <t>1:30.0</t>
        </is>
      </c>
      <c r="C18" s="2" t="inlineStr">
        <is>
          <t>13:30</t>
        </is>
      </c>
      <c r="D18" s="2" t="inlineStr">
        <is>
          <t>1</t>
        </is>
      </c>
      <c r="E18" s="2" t="inlineStr">
        <is>
          <t>GRN</t>
        </is>
      </c>
      <c r="F18" s="2" t="inlineStr">
        <is>
          <t>#98</t>
        </is>
      </c>
      <c r="G18" s="2" t="inlineStr">
        <is>
          <t>SOG</t>
        </is>
      </c>
      <c r="H18" s="2" t="inlineStr"/>
      <c r="I18" s="2" t="inlineStr"/>
    </row>
    <row r="19">
      <c r="A19" s="2" t="n">
        <v>15</v>
      </c>
      <c r="B19" s="2" t="inlineStr">
        <is>
          <t>1:40.0</t>
        </is>
      </c>
      <c r="C19" s="2" t="inlineStr">
        <is>
          <t>13:20</t>
        </is>
      </c>
      <c r="D19" s="2" t="inlineStr">
        <is>
          <t>1</t>
        </is>
      </c>
      <c r="E19" s="2" t="inlineStr">
        <is>
          <t>B/Y</t>
        </is>
      </c>
      <c r="F19" s="2" t="inlineStr">
        <is>
          <t>#55</t>
        </is>
      </c>
      <c r="G19" s="2" t="inlineStr">
        <is>
          <t>GIVE</t>
        </is>
      </c>
      <c r="H19" s="2" t="inlineStr"/>
      <c r="I19" s="2" t="inlineStr"/>
    </row>
  </sheetData>
  <autoFilter ref="A1:I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40" customWidth="1" min="5" max="5"/>
  </cols>
  <sheetData>
    <row r="1">
      <c r="A1" s="1" t="inlineStr">
        <is>
          <t>Team</t>
        </is>
      </c>
      <c r="B1" s="1" t="inlineStr">
        <is>
          <t>Number</t>
        </is>
      </c>
      <c r="C1" s="1" t="inlineStr">
        <is>
          <t>Position</t>
        </is>
      </c>
      <c r="D1" s="1" t="inlineStr">
        <is>
          <t>Number confirmed on video</t>
        </is>
      </c>
      <c r="E1" s="1" t="inlineStr">
        <is>
          <t>Note</t>
        </is>
      </c>
    </row>
    <row r="2">
      <c r="A2" s="2" t="inlineStr">
        <is>
          <t>Black/Yellow</t>
        </is>
      </c>
      <c r="B2" s="2" t="inlineStr">
        <is>
          <t>#1</t>
        </is>
      </c>
      <c r="C2" s="2" t="inlineStr">
        <is>
          <t>G</t>
        </is>
      </c>
      <c r="D2" s="2" t="inlineStr"/>
      <c r="E2" s="2" t="inlineStr">
        <is>
          <t>goalie</t>
        </is>
      </c>
    </row>
    <row r="3">
      <c r="A3" s="2" t="inlineStr">
        <is>
          <t>Black/Yellow</t>
        </is>
      </c>
      <c r="B3" s="2" t="inlineStr">
        <is>
          <t>#11</t>
        </is>
      </c>
      <c r="C3" s="2" t="inlineStr"/>
      <c r="D3" s="2" t="inlineStr"/>
      <c r="E3" s="2" t="inlineStr"/>
    </row>
    <row r="4">
      <c r="A4" s="2" t="inlineStr">
        <is>
          <t>Black/Yellow</t>
        </is>
      </c>
      <c r="B4" s="2" t="inlineStr">
        <is>
          <t>#22</t>
        </is>
      </c>
      <c r="C4" s="2" t="inlineStr"/>
      <c r="D4" s="2" t="inlineStr"/>
      <c r="E4" s="2" t="inlineStr"/>
    </row>
    <row r="5">
      <c r="A5" s="2" t="inlineStr">
        <is>
          <t>Black/Yellow</t>
        </is>
      </c>
      <c r="B5" s="2" t="inlineStr">
        <is>
          <t>#33</t>
        </is>
      </c>
      <c r="C5" s="2" t="inlineStr"/>
      <c r="D5" s="2" t="inlineStr"/>
      <c r="E5" s="2" t="inlineStr"/>
    </row>
    <row r="6">
      <c r="A6" s="2" t="inlineStr">
        <is>
          <t>Black/Yellow</t>
        </is>
      </c>
      <c r="B6" s="2" t="inlineStr">
        <is>
          <t>#44</t>
        </is>
      </c>
      <c r="C6" s="2" t="inlineStr"/>
      <c r="D6" s="2" t="inlineStr"/>
      <c r="E6" s="2" t="inlineStr"/>
    </row>
    <row r="7">
      <c r="A7" s="2" t="inlineStr">
        <is>
          <t>Black/Yellow</t>
        </is>
      </c>
      <c r="B7" s="2" t="inlineStr">
        <is>
          <t>#55</t>
        </is>
      </c>
      <c r="C7" s="2" t="inlineStr"/>
      <c r="D7" s="2" t="inlineStr"/>
      <c r="E7" s="2" t="inlineStr"/>
    </row>
    <row r="8">
      <c r="A8" s="2" t="inlineStr">
        <is>
          <t>Black/Yellow</t>
        </is>
      </c>
      <c r="B8" s="2" t="inlineStr">
        <is>
          <t>#66</t>
        </is>
      </c>
      <c r="C8" s="2" t="inlineStr"/>
      <c r="D8" s="2" t="inlineStr"/>
      <c r="E8" s="2" t="inlineStr"/>
    </row>
    <row r="9">
      <c r="A9" s="2" t="inlineStr">
        <is>
          <t>Green</t>
        </is>
      </c>
      <c r="B9" s="2" t="inlineStr">
        <is>
          <t>#30</t>
        </is>
      </c>
      <c r="C9" s="2" t="inlineStr">
        <is>
          <t>G</t>
        </is>
      </c>
      <c r="D9" s="2" t="inlineStr"/>
      <c r="E9" s="2" t="inlineStr"/>
    </row>
    <row r="10">
      <c r="A10" s="2" t="inlineStr">
        <is>
          <t>Green</t>
        </is>
      </c>
      <c r="B10" s="2" t="inlineStr">
        <is>
          <t>#32</t>
        </is>
      </c>
      <c r="C10" s="2" t="inlineStr"/>
      <c r="D10" s="2" t="inlineStr"/>
      <c r="E10" s="2" t="inlineStr"/>
    </row>
    <row r="11">
      <c r="A11" s="2" t="inlineStr">
        <is>
          <t>Green</t>
        </is>
      </c>
      <c r="B11" s="2" t="inlineStr">
        <is>
          <t>#77</t>
        </is>
      </c>
      <c r="C11" s="2" t="inlineStr"/>
      <c r="D11" s="2" t="inlineStr"/>
      <c r="E11" s="2" t="inlineStr"/>
    </row>
    <row r="12">
      <c r="A12" s="2" t="inlineStr">
        <is>
          <t>Green</t>
        </is>
      </c>
      <c r="B12" s="2" t="inlineStr">
        <is>
          <t>#98</t>
        </is>
      </c>
      <c r="C12" s="2" t="inlineStr"/>
      <c r="D12" s="2" t="inlineStr"/>
      <c r="E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2026-09-25T05:57:25Z</dcterms:created>
  <dcterms:modified xsi:type="dcterms:W3CDTF">2026-09-25T05:57:25Z</dcterms:modified>
</cp:coreProperties>
</file>